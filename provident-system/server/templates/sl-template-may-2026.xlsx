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AY 2026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G5" authorId="0">
      <text>
        <r>
          <rPr>
            <b/>
            <sz val="9"/>
            <rFont val="Tahoma"/>
            <charset val="134"/>
          </rPr>
          <t>PC:</t>
        </r>
        <r>
          <rPr>
            <sz val="9"/>
            <rFont val="Tahoma"/>
            <charset val="134"/>
          </rPr>
          <t xml:space="preserve">
report of collection and deposits
</t>
        </r>
      </text>
    </comment>
  </commentList>
</comments>
</file>

<file path=xl/sharedStrings.xml><?xml version="1.0" encoding="utf-8"?>
<sst xmlns="http://schemas.openxmlformats.org/spreadsheetml/2006/main" count="314" uniqueCount="211">
  <si>
    <t>SUBSIDIARY LEDGER</t>
  </si>
  <si>
    <t>Account #</t>
  </si>
  <si>
    <t>Provident Fund Loan</t>
  </si>
  <si>
    <t xml:space="preserve">STATION </t>
  </si>
  <si>
    <t xml:space="preserve">EMPLOYEE </t>
  </si>
  <si>
    <t xml:space="preserve">MONTHLY </t>
  </si>
  <si>
    <t>DESIGNATION</t>
  </si>
  <si>
    <t>APP'L.</t>
  </si>
  <si>
    <t>STATUS</t>
  </si>
  <si>
    <t>TYPE OF LOAN</t>
  </si>
  <si>
    <t>REF</t>
  </si>
  <si>
    <t>PARTICULARS</t>
  </si>
  <si>
    <t>ROC</t>
  </si>
  <si>
    <t>Gross amount</t>
  </si>
  <si>
    <t>outstanding balance</t>
  </si>
  <si>
    <t>total grand of loan</t>
  </si>
  <si>
    <t xml:space="preserve">BALANCE </t>
  </si>
  <si>
    <t xml:space="preserve">CODE </t>
  </si>
  <si>
    <t>NO.</t>
  </si>
  <si>
    <t>SCHEDULE OF PAYMENT</t>
  </si>
  <si>
    <t>AMORT.</t>
  </si>
  <si>
    <t>SCHOOL/DISTRICT</t>
  </si>
  <si>
    <t>Co-maker</t>
  </si>
  <si>
    <t>EMPLOYEE NO.</t>
  </si>
  <si>
    <t>REMARKS/STATUS</t>
  </si>
  <si>
    <t>SOA - CHECK NO.</t>
  </si>
  <si>
    <t>LAST MONTH SOA</t>
  </si>
  <si>
    <t>ACCOUNT#</t>
  </si>
  <si>
    <t>FOR ACCOUNTING ONLY</t>
  </si>
  <si>
    <t>Fund</t>
  </si>
  <si>
    <t>bal forwarded</t>
  </si>
  <si>
    <t>Reg payroll Sec-ATM</t>
  </si>
  <si>
    <t>Reg payroll Elem-ATM</t>
  </si>
  <si>
    <t>Additional funds</t>
  </si>
  <si>
    <t>Fiscal School</t>
  </si>
  <si>
    <t xml:space="preserve">Over the counter Payment </t>
  </si>
  <si>
    <t xml:space="preserve">   </t>
  </si>
  <si>
    <t>NEW</t>
  </si>
  <si>
    <t>2026-05-4218</t>
  </si>
  <si>
    <t>BALUYUT, REINALYN V.</t>
  </si>
  <si>
    <t>028</t>
  </si>
  <si>
    <t>T-I</t>
  </si>
  <si>
    <t>STO DOMINGO ES/ LUBAO</t>
  </si>
  <si>
    <t>GUEVARRA, ROSELYN B.</t>
  </si>
  <si>
    <t>0085192426</t>
  </si>
  <si>
    <t>2026-05-4221</t>
  </si>
  <si>
    <t>GUEVARRA, ABIGAEL R.</t>
  </si>
  <si>
    <t>039</t>
  </si>
  <si>
    <t>SAN ESTEBAN ES/ MACABEBE</t>
  </si>
  <si>
    <t>SARIFA, DARLENE G.</t>
  </si>
  <si>
    <t>3425045724</t>
  </si>
  <si>
    <t>2026-05-4222</t>
  </si>
  <si>
    <t>LULU, SHAIRA M.</t>
  </si>
  <si>
    <t>016</t>
  </si>
  <si>
    <t>T-III</t>
  </si>
  <si>
    <t>FULGENCIO MATIAS ES/ STA ANA</t>
  </si>
  <si>
    <t>NUGUID, MARIA CECILIA M.</t>
  </si>
  <si>
    <t>0085189158</t>
  </si>
  <si>
    <t>2026-04-4223</t>
  </si>
  <si>
    <t>PAMINTUAN, APRIL JOY N.</t>
  </si>
  <si>
    <t>PASIG NHS/ CANDABA</t>
  </si>
  <si>
    <t>DELA MINES, JOHN REY G.</t>
  </si>
  <si>
    <t>0085173448</t>
  </si>
  <si>
    <t>RENEWAL/ ADDITIONAL</t>
  </si>
  <si>
    <t>2026-05-4224</t>
  </si>
  <si>
    <t>ALFONSO, JONA AFRICA R.</t>
  </si>
  <si>
    <t>095</t>
  </si>
  <si>
    <t>AA-I</t>
  </si>
  <si>
    <t>SDO PAMPANGA</t>
  </si>
  <si>
    <t>GARCIA, KATRINA MARIE O.</t>
  </si>
  <si>
    <t>MAY</t>
  </si>
  <si>
    <t>0085178911</t>
  </si>
  <si>
    <t>REFUND</t>
  </si>
  <si>
    <t>2026-05-4225</t>
  </si>
  <si>
    <t>PASAMONTE, AUSTIN A.</t>
  </si>
  <si>
    <t>0085182935</t>
  </si>
  <si>
    <t>2026-05-4226</t>
  </si>
  <si>
    <t>DE VERA, CATHERINE D</t>
  </si>
  <si>
    <t>033</t>
  </si>
  <si>
    <t>SAN ANTONIO ES/ BACOLOR SOUTH</t>
  </si>
  <si>
    <t>SABINO, MARY GRACE R.</t>
  </si>
  <si>
    <t>0085122894</t>
  </si>
  <si>
    <t>2026-05-4227</t>
  </si>
  <si>
    <t>PANGAN, ROSARIO M.</t>
  </si>
  <si>
    <t>013</t>
  </si>
  <si>
    <t>SAN LORENZO ES/ MEXICO SOUTH</t>
  </si>
  <si>
    <t>GUTIERREZ, MELODY D.</t>
  </si>
  <si>
    <t>0085122274</t>
  </si>
  <si>
    <t>2026-05-4228</t>
  </si>
  <si>
    <t>MARQUEZ, MAY L.</t>
  </si>
  <si>
    <t>0085121588</t>
  </si>
  <si>
    <t>2026-05-4229</t>
  </si>
  <si>
    <t>MENDOZA, AR AR P.</t>
  </si>
  <si>
    <t>025</t>
  </si>
  <si>
    <t>BAHAY PARE ES/ CANDABA EAST</t>
  </si>
  <si>
    <t>PATAWARAN, AILEEN C.</t>
  </si>
  <si>
    <t>0085194836</t>
  </si>
  <si>
    <t>2026-05-4230</t>
  </si>
  <si>
    <t>BENOLIRAO, ANTHONY S.</t>
  </si>
  <si>
    <t>PULUNG SANTOL NHS/ PORAC</t>
  </si>
  <si>
    <t>BENOLIRAO, EDILYN T.</t>
  </si>
  <si>
    <t>3865015991</t>
  </si>
  <si>
    <t>2026-05-4231</t>
  </si>
  <si>
    <t>SAGUM, JAILEEN C.</t>
  </si>
  <si>
    <t>018</t>
  </si>
  <si>
    <t>SAN AGUSTIS ES/ SAN LUIS</t>
  </si>
  <si>
    <t>SARMIENTO, MARIA PAULA S.</t>
  </si>
  <si>
    <t>0085205820</t>
  </si>
  <si>
    <t>2026-05-4232</t>
  </si>
  <si>
    <t>PELAYO, JOLINA B.</t>
  </si>
  <si>
    <t>AO-II</t>
  </si>
  <si>
    <t>CANDATING NHS/ ARAYAT</t>
  </si>
  <si>
    <t>SAGUM, JAYLEEN P.</t>
  </si>
  <si>
    <t>0085221655</t>
  </si>
  <si>
    <t>2026-05-4233</t>
  </si>
  <si>
    <t>SANCHEZ, RUSSEL G.</t>
  </si>
  <si>
    <t>T-II</t>
  </si>
  <si>
    <t>EASTERN PORAC NHS/ PORAC</t>
  </si>
  <si>
    <t>COSME, PATRICIA ANNE D.</t>
  </si>
  <si>
    <t>1525077884</t>
  </si>
  <si>
    <t>2026-05-4234</t>
  </si>
  <si>
    <t>PINEDA, GREFIA VICTORIA P.</t>
  </si>
  <si>
    <t>SALARY</t>
  </si>
  <si>
    <t>0085222449</t>
  </si>
  <si>
    <t>2026-05-4235</t>
  </si>
  <si>
    <t>LENON, ALF M.</t>
  </si>
  <si>
    <t>0085222570</t>
  </si>
  <si>
    <t>2026-05-4236</t>
  </si>
  <si>
    <t>RUFINO, MA. CRISTINA L.</t>
  </si>
  <si>
    <t>SAN VICENTE ES/ APALIT</t>
  </si>
  <si>
    <t>3425015426</t>
  </si>
  <si>
    <t>2026-05-4237</t>
  </si>
  <si>
    <t>PUNZALAN, CAMILLE P.</t>
  </si>
  <si>
    <t>SAN RAFAEL ES/ MEXICO NORTH</t>
  </si>
  <si>
    <t>BONDOC, GERALD C.</t>
  </si>
  <si>
    <t>0085202863</t>
  </si>
  <si>
    <t>2026-05-4238</t>
  </si>
  <si>
    <t>TOLENTINO, SHASHANE L.</t>
  </si>
  <si>
    <t>T-V</t>
  </si>
  <si>
    <t>STA. CATALINA HS/ SAN LUIS</t>
  </si>
  <si>
    <t>NIEVERA PERLITA C.</t>
  </si>
  <si>
    <t>0085168479</t>
  </si>
  <si>
    <t>2026-05-4239</t>
  </si>
  <si>
    <t>CRUZ, PRINCESS S.</t>
  </si>
  <si>
    <t>0085204742</t>
  </si>
  <si>
    <t>2026-05-4240</t>
  </si>
  <si>
    <t>ADDITIONAL</t>
  </si>
  <si>
    <t>2026-05-4241</t>
  </si>
  <si>
    <t>MALLARI, MARIVIC B.</t>
  </si>
  <si>
    <t>T-IV</t>
  </si>
  <si>
    <t>EVANGELISTA, JEANNA T.</t>
  </si>
  <si>
    <t>3865012550</t>
  </si>
  <si>
    <t>2026-05-4242</t>
  </si>
  <si>
    <t>LARIN, MARIETA O.</t>
  </si>
  <si>
    <t>AO-IV</t>
  </si>
  <si>
    <t>CANILAO, CATHERINE O.</t>
  </si>
  <si>
    <t>0085102699</t>
  </si>
  <si>
    <t>2026-05-4243</t>
  </si>
  <si>
    <t>LENON, KATRINA D.</t>
  </si>
  <si>
    <t>SAN ISIDRO ES/ STA. ANA</t>
  </si>
  <si>
    <t>DIZON, AREL JHOY M.</t>
  </si>
  <si>
    <t>3775000936</t>
  </si>
  <si>
    <t>2026-05-4244</t>
  </si>
  <si>
    <t>2026-05-4245</t>
  </si>
  <si>
    <t>2026-05-4246</t>
  </si>
  <si>
    <t>CALISANGAN, JINKY B.</t>
  </si>
  <si>
    <t>HENSON ES/ PORAC EAST</t>
  </si>
  <si>
    <t>1525077914</t>
  </si>
  <si>
    <t>2026-05-4247</t>
  </si>
  <si>
    <t>DE JESUS, VICTORIA CORAZON P.</t>
  </si>
  <si>
    <t>AA-III</t>
  </si>
  <si>
    <t>SALAPUNGAN NHS/ CANDABA</t>
  </si>
  <si>
    <t>ANDAL, IRENE C.</t>
  </si>
  <si>
    <t xml:space="preserve">RENEWAL </t>
  </si>
  <si>
    <t>0105089473</t>
  </si>
  <si>
    <t>2026-05-4248</t>
  </si>
  <si>
    <t>REYES, MA. LUISA M.</t>
  </si>
  <si>
    <t>SAN ISIDRO ES/ SAN LUIS</t>
  </si>
  <si>
    <t>ROS, GLENDA B.</t>
  </si>
  <si>
    <t>0085181793</t>
  </si>
  <si>
    <t>2026-05-4249</t>
  </si>
  <si>
    <t>BALLESTEROS, IRAH S.</t>
  </si>
  <si>
    <t>STA. LUTGARDA ES/ MACABEBE WEST</t>
  </si>
  <si>
    <t>CABRERA, GLAIZA G.</t>
  </si>
  <si>
    <t>3425048979</t>
  </si>
  <si>
    <t>2026-05-4250</t>
  </si>
  <si>
    <t>ISIP, ALMA M.</t>
  </si>
  <si>
    <t>ADA-I</t>
  </si>
  <si>
    <t>STO. NINO ES/ MACABEBE WEST</t>
  </si>
  <si>
    <t>3425048464</t>
  </si>
  <si>
    <t>2026-05-4251</t>
  </si>
  <si>
    <t>LAURETA, ALMER A.</t>
  </si>
  <si>
    <t>MASAMAT ES/ MEXICO SOUTH</t>
  </si>
  <si>
    <t>LAURETA, EVELYN L.</t>
  </si>
  <si>
    <t>0085142275</t>
  </si>
  <si>
    <t>2026-05-4252</t>
  </si>
  <si>
    <t>MT-II</t>
  </si>
  <si>
    <t>DALCUIS HS</t>
  </si>
  <si>
    <t>SORIANO, RODERICK G.</t>
  </si>
  <si>
    <t>0085072420</t>
  </si>
  <si>
    <t>2026-05-4253</t>
  </si>
  <si>
    <t>2026-05-4254</t>
  </si>
  <si>
    <t>MUTUC, ANGELINA M.</t>
  </si>
  <si>
    <t>0085095749</t>
  </si>
  <si>
    <t>2026-05-4255</t>
  </si>
  <si>
    <t>CRUZ, MARGIE S.</t>
  </si>
  <si>
    <t>003</t>
  </si>
  <si>
    <t>ADAS-III</t>
  </si>
  <si>
    <t>ARAYAT CS/ ARAYAT WEST</t>
  </si>
  <si>
    <t>LEGUIAB, JOEL S.</t>
  </si>
  <si>
    <t>0085217518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</si>
</sst>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_(* #,##0.00_);_(* \(#,##0.00\);_(* &quot;-&quot;??_);_(@_)"/>
    <numFmt numFmtId="177" formatCode="dd\-mmm\-yy"/>
    <numFmt numFmtId="178" formatCode="mmm\-yy"/>
  </numFmts>
  <fonts count="42">
    <font>
      <sz val="11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2"/>
      <name val="Calibri"/>
      <charset val="134"/>
      <scheme val="minor"/>
    </font>
    <font>
      <b/>
      <sz val="12"/>
      <name val="Calibri"/>
      <charset val="134"/>
      <scheme val="minor"/>
    </font>
    <font>
      <sz val="12"/>
      <color rgb="FF1F497D"/>
      <name val="Calibri"/>
      <charset val="134"/>
      <scheme val="minor"/>
    </font>
    <font>
      <sz val="12"/>
      <color rgb="FF0000FF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12"/>
      <color rgb="FF1F497D"/>
      <name val="Calibri"/>
      <charset val="134"/>
      <scheme val="minor"/>
    </font>
    <font>
      <b/>
      <sz val="12"/>
      <color rgb="FF333333"/>
      <name val="Calibri"/>
      <charset val="134"/>
      <scheme val="minor"/>
    </font>
    <font>
      <b/>
      <sz val="12"/>
      <color rgb="FFFF0000"/>
      <name val="Arial"/>
      <charset val="134"/>
    </font>
    <font>
      <b/>
      <sz val="12"/>
      <color rgb="FF0000FF"/>
      <name val="Calibri"/>
      <charset val="134"/>
      <scheme val="minor"/>
    </font>
    <font>
      <sz val="12"/>
      <color rgb="FF333333"/>
      <name val="Calibri"/>
      <charset val="134"/>
      <scheme val="minor"/>
    </font>
    <font>
      <i/>
      <sz val="12"/>
      <color rgb="FF1F497D"/>
      <name val="Calibri"/>
      <charset val="134"/>
      <scheme val="minor"/>
    </font>
    <font>
      <b/>
      <i/>
      <sz val="12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b/>
      <sz val="12"/>
      <color rgb="FF0C0C0C"/>
      <name val="Calibri"/>
      <charset val="134"/>
      <scheme val="minor"/>
    </font>
    <font>
      <b/>
      <sz val="12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5" borderId="14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17" applyNumberFormat="0" applyAlignment="0" applyProtection="0">
      <alignment vertical="center"/>
    </xf>
    <xf numFmtId="0" fontId="30" fillId="7" borderId="18" applyNumberFormat="0" applyAlignment="0" applyProtection="0">
      <alignment vertical="center"/>
    </xf>
    <xf numFmtId="0" fontId="31" fillId="7" borderId="17" applyNumberFormat="0" applyAlignment="0" applyProtection="0">
      <alignment vertical="center"/>
    </xf>
    <xf numFmtId="0" fontId="32" fillId="8" borderId="19" applyNumberFormat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</cellStyleXfs>
  <cellXfs count="1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1" fillId="0" borderId="0" xfId="0" applyFont="1" applyAlignment="1">
      <alignment horizontal="left"/>
    </xf>
    <xf numFmtId="176" fontId="1" fillId="0" borderId="0" xfId="0" applyNumberFormat="1" applyFont="1" applyAlignment="1">
      <alignment horizontal="left" vertical="top"/>
    </xf>
    <xf numFmtId="1" fontId="1" fillId="0" borderId="0" xfId="0" applyNumberFormat="1" applyFont="1"/>
    <xf numFmtId="1" fontId="1" fillId="0" borderId="1" xfId="0" applyNumberFormat="1" applyFont="1" applyBorder="1"/>
    <xf numFmtId="49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/>
    <xf numFmtId="0" fontId="2" fillId="0" borderId="4" xfId="0" applyFont="1" applyBorder="1" applyAlignment="1">
      <alignment horizontal="center"/>
    </xf>
    <xf numFmtId="0" fontId="5" fillId="2" borderId="4" xfId="0" applyFont="1" applyFill="1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vertical="top"/>
    </xf>
    <xf numFmtId="0" fontId="2" fillId="0" borderId="2" xfId="0" applyFont="1" applyBorder="1" applyAlignment="1">
      <alignment horizontal="center" vertical="top"/>
    </xf>
    <xf numFmtId="176" fontId="4" fillId="0" borderId="2" xfId="0" applyNumberFormat="1" applyFont="1" applyBorder="1" applyAlignment="1">
      <alignment horizontal="center" vertical="top"/>
    </xf>
    <xf numFmtId="176" fontId="5" fillId="2" borderId="2" xfId="0" applyNumberFormat="1" applyFont="1" applyFill="1" applyBorder="1" applyAlignment="1">
      <alignment horizontal="center" vertical="top"/>
    </xf>
    <xf numFmtId="176" fontId="2" fillId="0" borderId="2" xfId="0" applyNumberFormat="1" applyFont="1" applyBorder="1" applyAlignment="1">
      <alignment vertical="top"/>
    </xf>
    <xf numFmtId="176" fontId="4" fillId="0" borderId="2" xfId="0" applyNumberFormat="1" applyFont="1" applyBorder="1" applyAlignment="1">
      <alignment vertical="top"/>
    </xf>
    <xf numFmtId="176" fontId="7" fillId="0" borderId="2" xfId="0" applyNumberFormat="1" applyFont="1" applyBorder="1" applyAlignment="1">
      <alignment vertical="top"/>
    </xf>
    <xf numFmtId="176" fontId="8" fillId="0" borderId="2" xfId="0" applyNumberFormat="1" applyFont="1" applyBorder="1" applyAlignment="1">
      <alignment vertical="top"/>
    </xf>
    <xf numFmtId="0" fontId="4" fillId="0" borderId="5" xfId="0" applyFont="1" applyBorder="1"/>
    <xf numFmtId="177" fontId="5" fillId="0" borderId="2" xfId="0" applyNumberFormat="1" applyFont="1" applyBorder="1" applyAlignment="1">
      <alignment horizontal="center" vertical="top"/>
    </xf>
    <xf numFmtId="177" fontId="5" fillId="2" borderId="2" xfId="0" applyNumberFormat="1" applyFont="1" applyFill="1" applyBorder="1" applyAlignment="1">
      <alignment horizontal="center" vertical="top"/>
    </xf>
    <xf numFmtId="0" fontId="4" fillId="0" borderId="3" xfId="0" applyFont="1" applyBorder="1" applyAlignment="1">
      <alignment vertical="top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176" fontId="4" fillId="0" borderId="6" xfId="0" applyNumberFormat="1" applyFont="1" applyBorder="1" applyAlignment="1">
      <alignment horizontal="left" vertical="top"/>
    </xf>
    <xf numFmtId="1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left"/>
    </xf>
    <xf numFmtId="0" fontId="5" fillId="0" borderId="2" xfId="0" applyFont="1" applyBorder="1" applyAlignment="1">
      <alignment vertical="top"/>
    </xf>
    <xf numFmtId="0" fontId="5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top"/>
    </xf>
    <xf numFmtId="176" fontId="5" fillId="0" borderId="2" xfId="0" applyNumberFormat="1" applyFont="1" applyBorder="1" applyAlignment="1">
      <alignment horizontal="center" vertical="top"/>
    </xf>
    <xf numFmtId="176" fontId="5" fillId="2" borderId="2" xfId="0" applyNumberFormat="1" applyFont="1" applyFill="1" applyBorder="1" applyAlignment="1">
      <alignment horizontal="center" vertical="top" wrapText="1"/>
    </xf>
    <xf numFmtId="176" fontId="5" fillId="0" borderId="2" xfId="0" applyNumberFormat="1" applyFont="1" applyBorder="1" applyAlignment="1">
      <alignment horizontal="center" vertical="top" wrapText="1"/>
    </xf>
    <xf numFmtId="176" fontId="10" fillId="0" borderId="2" xfId="0" applyNumberFormat="1" applyFont="1" applyBorder="1" applyAlignment="1">
      <alignment horizontal="center" vertical="top"/>
    </xf>
    <xf numFmtId="176" fontId="2" fillId="0" borderId="2" xfId="0" applyNumberFormat="1" applyFont="1" applyBorder="1" applyAlignment="1">
      <alignment horizontal="center" vertical="top"/>
    </xf>
    <xf numFmtId="0" fontId="5" fillId="0" borderId="3" xfId="0" applyFont="1" applyBorder="1" applyAlignment="1">
      <alignment vertical="top"/>
    </xf>
    <xf numFmtId="0" fontId="4" fillId="0" borderId="8" xfId="0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176" fontId="4" fillId="0" borderId="8" xfId="0" applyNumberFormat="1" applyFont="1" applyBorder="1" applyAlignment="1">
      <alignment horizontal="left" vertical="top"/>
    </xf>
    <xf numFmtId="1" fontId="4" fillId="0" borderId="8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10" xfId="0" applyFont="1" applyBorder="1"/>
    <xf numFmtId="49" fontId="4" fillId="0" borderId="1" xfId="0" applyNumberFormat="1" applyFont="1" applyBorder="1" applyAlignment="1">
      <alignment horizontal="left"/>
    </xf>
    <xf numFmtId="176" fontId="11" fillId="0" borderId="2" xfId="0" applyNumberFormat="1" applyFont="1" applyBorder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176" fontId="4" fillId="0" borderId="0" xfId="0" applyNumberFormat="1" applyFont="1" applyAlignment="1">
      <alignment horizontal="left" vertical="top"/>
    </xf>
    <xf numFmtId="1" fontId="4" fillId="0" borderId="0" xfId="0" applyNumberFormat="1" applyFont="1" applyAlignment="1">
      <alignment horizontal="center"/>
    </xf>
    <xf numFmtId="178" fontId="5" fillId="0" borderId="2" xfId="0" applyNumberFormat="1" applyFont="1" applyBorder="1" applyAlignment="1">
      <alignment vertical="top"/>
    </xf>
    <xf numFmtId="176" fontId="12" fillId="0" borderId="2" xfId="0" applyNumberFormat="1" applyFont="1" applyBorder="1" applyAlignment="1">
      <alignment vertical="top"/>
    </xf>
    <xf numFmtId="176" fontId="4" fillId="0" borderId="2" xfId="0" applyNumberFormat="1" applyFont="1" applyBorder="1" applyAlignment="1">
      <alignment horizontal="left" vertical="top"/>
    </xf>
    <xf numFmtId="1" fontId="4" fillId="0" borderId="2" xfId="0" applyNumberFormat="1" applyFont="1" applyBorder="1" applyAlignment="1">
      <alignment vertical="top"/>
    </xf>
    <xf numFmtId="176" fontId="4" fillId="0" borderId="3" xfId="0" applyNumberFormat="1" applyFont="1" applyBorder="1" applyAlignment="1">
      <alignment vertical="top"/>
    </xf>
    <xf numFmtId="1" fontId="4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horizontal="left" vertical="top"/>
    </xf>
    <xf numFmtId="0" fontId="13" fillId="0" borderId="2" xfId="0" applyFont="1" applyBorder="1" applyAlignment="1">
      <alignment horizontal="center" vertical="top"/>
    </xf>
    <xf numFmtId="0" fontId="13" fillId="0" borderId="2" xfId="0" applyFont="1" applyBorder="1" applyAlignment="1">
      <alignment vertical="top"/>
    </xf>
    <xf numFmtId="0" fontId="14" fillId="0" borderId="2" xfId="0" applyFont="1" applyBorder="1" applyAlignment="1">
      <alignment vertical="top"/>
    </xf>
    <xf numFmtId="0" fontId="15" fillId="0" borderId="2" xfId="0" applyFont="1" applyBorder="1" applyAlignment="1">
      <alignment horizontal="center" vertical="top"/>
    </xf>
    <xf numFmtId="176" fontId="13" fillId="0" borderId="2" xfId="0" applyNumberFormat="1" applyFont="1" applyBorder="1" applyAlignment="1">
      <alignment horizontal="center" vertical="top"/>
    </xf>
    <xf numFmtId="176" fontId="10" fillId="2" borderId="2" xfId="0" applyNumberFormat="1" applyFont="1" applyFill="1" applyBorder="1" applyAlignment="1">
      <alignment horizontal="center" vertical="top"/>
    </xf>
    <xf numFmtId="176" fontId="10" fillId="0" borderId="2" xfId="0" applyNumberFormat="1" applyFont="1" applyBorder="1" applyAlignment="1">
      <alignment vertical="top"/>
    </xf>
    <xf numFmtId="176" fontId="13" fillId="0" borderId="2" xfId="0" applyNumberFormat="1" applyFont="1" applyBorder="1" applyAlignment="1">
      <alignment vertical="top"/>
    </xf>
    <xf numFmtId="176" fontId="13" fillId="0" borderId="2" xfId="0" applyNumberFormat="1" applyFont="1" applyBorder="1" applyAlignment="1">
      <alignment horizontal="left" vertical="top"/>
    </xf>
    <xf numFmtId="0" fontId="8" fillId="0" borderId="2" xfId="0" applyFont="1" applyBorder="1" applyAlignment="1">
      <alignment vertical="top"/>
    </xf>
    <xf numFmtId="176" fontId="16" fillId="0" borderId="1" xfId="0" applyNumberFormat="1" applyFont="1" applyBorder="1"/>
    <xf numFmtId="43" fontId="2" fillId="0" borderId="11" xfId="0" applyNumberFormat="1" applyFont="1" applyBorder="1" applyAlignment="1">
      <alignment vertical="top"/>
    </xf>
    <xf numFmtId="3" fontId="17" fillId="0" borderId="2" xfId="0" applyNumberFormat="1" applyFont="1" applyBorder="1" applyAlignment="1">
      <alignment horizontal="right" vertical="top"/>
    </xf>
    <xf numFmtId="0" fontId="9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horizontal="center" vertical="top"/>
    </xf>
    <xf numFmtId="4" fontId="17" fillId="0" borderId="0" xfId="0" applyNumberFormat="1" applyFont="1"/>
    <xf numFmtId="0" fontId="9" fillId="0" borderId="12" xfId="0" applyFont="1" applyBorder="1" applyAlignment="1">
      <alignment vertical="top"/>
    </xf>
    <xf numFmtId="43" fontId="4" fillId="0" borderId="2" xfId="0" applyNumberFormat="1" applyFont="1" applyBorder="1" applyAlignment="1">
      <alignment vertical="top"/>
    </xf>
    <xf numFmtId="43" fontId="18" fillId="0" borderId="13" xfId="0" applyNumberFormat="1" applyFont="1" applyBorder="1"/>
    <xf numFmtId="43" fontId="2" fillId="0" borderId="2" xfId="0" applyNumberFormat="1" applyFont="1" applyBorder="1" applyAlignment="1">
      <alignment horizontal="center" vertical="top"/>
    </xf>
    <xf numFmtId="43" fontId="5" fillId="0" borderId="2" xfId="0" applyNumberFormat="1" applyFont="1" applyBorder="1" applyAlignment="1">
      <alignment horizontal="center" vertical="top"/>
    </xf>
    <xf numFmtId="43" fontId="5" fillId="2" borderId="2" xfId="0" applyNumberFormat="1" applyFont="1" applyFill="1" applyBorder="1" applyAlignment="1">
      <alignment horizontal="center" vertical="top"/>
    </xf>
    <xf numFmtId="43" fontId="12" fillId="0" borderId="2" xfId="0" applyNumberFormat="1" applyFont="1" applyBorder="1" applyAlignment="1">
      <alignment vertical="top"/>
    </xf>
    <xf numFmtId="43" fontId="7" fillId="0" borderId="2" xfId="0" applyNumberFormat="1" applyFont="1" applyBorder="1" applyAlignment="1">
      <alignment vertical="top"/>
    </xf>
    <xf numFmtId="0" fontId="4" fillId="3" borderId="2" xfId="0" applyFont="1" applyFill="1" applyBorder="1" applyAlignment="1">
      <alignment vertical="top"/>
    </xf>
    <xf numFmtId="0" fontId="4" fillId="3" borderId="2" xfId="0" applyFont="1" applyFill="1" applyBorder="1" applyAlignment="1">
      <alignment horizontal="center" vertical="top"/>
    </xf>
    <xf numFmtId="43" fontId="4" fillId="4" borderId="2" xfId="0" applyNumberFormat="1" applyFont="1" applyFill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2" fillId="3" borderId="2" xfId="0" applyFont="1" applyFill="1" applyBorder="1" applyAlignment="1">
      <alignment horizontal="center" vertical="top"/>
    </xf>
    <xf numFmtId="176" fontId="5" fillId="3" borderId="2" xfId="0" applyNumberFormat="1" applyFont="1" applyFill="1" applyBorder="1" applyAlignment="1">
      <alignment horizontal="center" vertical="top"/>
    </xf>
    <xf numFmtId="176" fontId="16" fillId="3" borderId="2" xfId="0" applyNumberFormat="1" applyFont="1" applyFill="1" applyBorder="1" applyAlignment="1">
      <alignment vertical="top"/>
    </xf>
    <xf numFmtId="176" fontId="7" fillId="3" borderId="2" xfId="0" applyNumberFormat="1" applyFont="1" applyFill="1" applyBorder="1" applyAlignment="1">
      <alignment vertical="top"/>
    </xf>
    <xf numFmtId="176" fontId="8" fillId="3" borderId="2" xfId="0" applyNumberFormat="1" applyFont="1" applyFill="1" applyBorder="1" applyAlignment="1">
      <alignment vertical="top"/>
    </xf>
    <xf numFmtId="176" fontId="4" fillId="3" borderId="2" xfId="0" applyNumberFormat="1" applyFont="1" applyFill="1" applyBorder="1" applyAlignment="1">
      <alignment vertical="top"/>
    </xf>
    <xf numFmtId="176" fontId="2" fillId="3" borderId="2" xfId="0" applyNumberFormat="1" applyFont="1" applyFill="1" applyBorder="1" applyAlignment="1">
      <alignment vertical="top"/>
    </xf>
    <xf numFmtId="0" fontId="4" fillId="3" borderId="2" xfId="0" applyFont="1" applyFill="1" applyBorder="1" applyAlignment="1">
      <alignment horizontal="left" vertical="top"/>
    </xf>
    <xf numFmtId="176" fontId="4" fillId="3" borderId="2" xfId="0" applyNumberFormat="1" applyFont="1" applyFill="1" applyBorder="1" applyAlignment="1">
      <alignment horizontal="left" vertical="top"/>
    </xf>
    <xf numFmtId="176" fontId="4" fillId="3" borderId="2" xfId="0" applyNumberFormat="1" applyFont="1" applyFill="1" applyBorder="1" applyAlignment="1">
      <alignment horizontal="center" vertical="top"/>
    </xf>
    <xf numFmtId="1" fontId="4" fillId="3" borderId="2" xfId="0" applyNumberFormat="1" applyFont="1" applyFill="1" applyBorder="1"/>
    <xf numFmtId="176" fontId="4" fillId="3" borderId="3" xfId="0" applyNumberFormat="1" applyFont="1" applyFill="1" applyBorder="1" applyAlignment="1">
      <alignment horizontal="left" vertical="top"/>
    </xf>
    <xf numFmtId="1" fontId="4" fillId="3" borderId="1" xfId="0" applyNumberFormat="1" applyFont="1" applyFill="1" applyBorder="1" applyAlignment="1">
      <alignment horizontal="left" vertical="top"/>
    </xf>
    <xf numFmtId="0" fontId="1" fillId="3" borderId="10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top"/>
    </xf>
    <xf numFmtId="0" fontId="1" fillId="3" borderId="0" xfId="0" applyFont="1" applyFill="1"/>
    <xf numFmtId="176" fontId="5" fillId="3" borderId="2" xfId="0" applyNumberFormat="1" applyFont="1" applyFill="1" applyBorder="1" applyAlignment="1">
      <alignment vertical="top"/>
    </xf>
    <xf numFmtId="1" fontId="4" fillId="3" borderId="2" xfId="0" applyNumberFormat="1" applyFont="1" applyFill="1" applyBorder="1" applyAlignment="1">
      <alignment horizontal="right" vertical="top"/>
    </xf>
    <xf numFmtId="0" fontId="19" fillId="3" borderId="2" xfId="0" applyFont="1" applyFill="1" applyBorder="1" applyAlignment="1">
      <alignment horizontal="left" vertical="top"/>
    </xf>
    <xf numFmtId="1" fontId="4" fillId="3" borderId="2" xfId="0" applyNumberFormat="1" applyFont="1" applyFill="1" applyBorder="1" applyAlignment="1">
      <alignment horizontal="left" vertical="top"/>
    </xf>
    <xf numFmtId="1" fontId="4" fillId="3" borderId="2" xfId="0" applyNumberFormat="1" applyFont="1" applyFill="1" applyBorder="1" applyAlignment="1">
      <alignment horizontal="right"/>
    </xf>
    <xf numFmtId="176" fontId="16" fillId="3" borderId="1" xfId="0" applyNumberFormat="1" applyFont="1" applyFill="1" applyBorder="1" applyAlignment="1">
      <alignment vertical="top"/>
    </xf>
    <xf numFmtId="0" fontId="19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center" vertical="top"/>
    </xf>
    <xf numFmtId="43" fontId="5" fillId="3" borderId="2" xfId="0" applyNumberFormat="1" applyFont="1" applyFill="1" applyBorder="1" applyAlignment="1">
      <alignment horizontal="center" vertical="top"/>
    </xf>
    <xf numFmtId="43" fontId="16" fillId="3" borderId="2" xfId="0" applyNumberFormat="1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4" fillId="2" borderId="2" xfId="0" applyFont="1" applyFill="1" applyBorder="1" applyAlignment="1">
      <alignment horizontal="left" vertical="top"/>
    </xf>
    <xf numFmtId="0" fontId="4" fillId="3" borderId="3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4" fontId="4" fillId="3" borderId="2" xfId="0" applyNumberFormat="1" applyFont="1" applyFill="1" applyBorder="1" applyAlignment="1">
      <alignment horizontal="right"/>
    </xf>
    <xf numFmtId="43" fontId="4" fillId="3" borderId="2" xfId="0" applyNumberFormat="1" applyFont="1" applyFill="1" applyBorder="1" applyAlignment="1">
      <alignment horizontal="left" vertical="top"/>
    </xf>
    <xf numFmtId="0" fontId="19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D53"/>
  <sheetViews>
    <sheetView tabSelected="1" zoomScale="85" zoomScaleNormal="85" topLeftCell="A26" workbookViewId="0">
      <selection activeCell="K29" sqref="K29"/>
    </sheetView>
  </sheetViews>
  <sheetFormatPr defaultColWidth="14.4444444444444" defaultRowHeight="15.6" customHeight="1"/>
  <cols>
    <col min="1" max="1" width="8.22222222222222" style="1" customWidth="1"/>
    <col min="2" max="2" width="33.6666666666667" style="2" customWidth="1"/>
    <col min="3" max="3" width="10.1111111111111" style="1" customWidth="1"/>
    <col min="4" max="4" width="15.8888888888889" style="1" customWidth="1"/>
    <col min="5" max="5" width="40" style="1" customWidth="1"/>
    <col min="6" max="6" width="28.3333333333333" style="3" customWidth="1"/>
    <col min="7" max="7" width="25.3333333333333" style="1" customWidth="1"/>
    <col min="8" max="8" width="16" style="4" customWidth="1"/>
    <col min="9" max="9" width="14.5555555555556" style="4" customWidth="1"/>
    <col min="10" max="10" width="18.8888888888889" style="1" customWidth="1"/>
    <col min="11" max="11" width="19.6666666666667" style="1" customWidth="1"/>
    <col min="12" max="12" width="15.3333333333333" style="1" customWidth="1"/>
    <col min="13" max="13" width="14.8888888888889" style="1" hidden="1" customWidth="1"/>
    <col min="14" max="14" width="15.3333333333333" style="1" hidden="1" customWidth="1"/>
    <col min="15" max="15" width="13.4444444444444" style="1" hidden="1" customWidth="1"/>
    <col min="16" max="16" width="15.3333333333333" style="1" hidden="1" customWidth="1"/>
    <col min="17" max="17" width="10.2222222222222" style="5" customWidth="1"/>
    <col min="18" max="18" width="14.7777777777778" style="1" customWidth="1"/>
    <col min="19" max="19" width="14.6666666666667" style="1" customWidth="1"/>
    <col min="20" max="20" width="13" style="6" customWidth="1"/>
    <col min="21" max="21" width="14.8888888888889" style="2" customWidth="1"/>
    <col min="22" max="22" width="11.2222222222222" style="7" customWidth="1"/>
    <col min="23" max="23" width="56.1111111111111" style="1" customWidth="1"/>
    <col min="24" max="24" width="38.2222222222222" style="1" customWidth="1"/>
    <col min="25" max="25" width="16" style="5" customWidth="1"/>
    <col min="26" max="26" width="41.1111111111111" style="1" customWidth="1"/>
    <col min="27" max="27" width="27.7777777777778" style="8" customWidth="1"/>
    <col min="28" max="28" width="18.2222222222222" style="1" customWidth="1"/>
    <col min="29" max="29" width="16" style="9" customWidth="1"/>
    <col min="30" max="30" width="23.5555555555556" style="1" customWidth="1"/>
    <col min="31" max="31" width="15.3333333333333" style="1" customWidth="1"/>
    <col min="32" max="32" width="24.8888888888889" style="1" customWidth="1"/>
    <col min="33" max="16384" width="14.4444444444444" style="1" customWidth="1"/>
  </cols>
  <sheetData>
    <row r="1" ht="24.75" customHeight="1" spans="1:30">
      <c r="A1" s="10"/>
      <c r="B1" s="11" t="s">
        <v>0</v>
      </c>
      <c r="C1" s="12"/>
      <c r="D1" s="12"/>
      <c r="E1" s="12"/>
      <c r="F1" s="13"/>
      <c r="G1" s="12"/>
      <c r="H1" s="14"/>
      <c r="I1" s="14"/>
      <c r="J1" s="12"/>
      <c r="K1" s="12"/>
      <c r="L1" s="15"/>
      <c r="M1" s="16" t="s">
        <v>1</v>
      </c>
      <c r="N1" s="10"/>
      <c r="O1" s="10"/>
      <c r="P1" s="10"/>
    </row>
    <row r="2" ht="6" customHeight="1" spans="1:30">
      <c r="A2" s="10"/>
      <c r="B2" s="17"/>
      <c r="C2" s="10"/>
      <c r="D2" s="10"/>
      <c r="E2" s="18"/>
      <c r="F2" s="19"/>
      <c r="G2" s="20"/>
      <c r="H2" s="21"/>
      <c r="I2" s="21"/>
      <c r="J2" s="22"/>
      <c r="K2" s="23"/>
      <c r="L2" s="24"/>
      <c r="M2" s="25"/>
      <c r="N2" s="10"/>
      <c r="O2" s="22"/>
      <c r="P2" s="10"/>
    </row>
    <row r="3" ht="36" customHeight="1" spans="1:30">
      <c r="A3" s="10"/>
      <c r="B3" s="11" t="s">
        <v>2</v>
      </c>
      <c r="C3" s="12"/>
      <c r="D3" s="12"/>
      <c r="E3" s="12"/>
      <c r="F3" s="13"/>
      <c r="G3" s="12"/>
      <c r="H3" s="14"/>
      <c r="I3" s="14"/>
      <c r="J3" s="12"/>
      <c r="K3" s="12"/>
      <c r="L3" s="12"/>
      <c r="M3" s="26"/>
      <c r="N3" s="10"/>
      <c r="O3" s="10"/>
      <c r="P3" s="10"/>
    </row>
    <row r="4" ht="22.95" customHeight="1" spans="1:30">
      <c r="A4" s="10"/>
      <c r="B4" s="17"/>
      <c r="C4" s="10"/>
      <c r="D4" s="10"/>
      <c r="E4" s="18"/>
      <c r="F4" s="19"/>
      <c r="G4" s="27">
        <v>45931</v>
      </c>
      <c r="H4" s="28"/>
      <c r="I4" s="28"/>
      <c r="J4" s="22"/>
      <c r="K4" s="23"/>
      <c r="L4" s="24"/>
      <c r="M4" s="25"/>
      <c r="N4" s="25"/>
      <c r="O4" s="22"/>
      <c r="P4" s="29"/>
      <c r="Q4" s="30" t="s">
        <v>3</v>
      </c>
      <c r="R4" s="31" t="s">
        <v>4</v>
      </c>
      <c r="S4" s="31"/>
      <c r="T4" s="32" t="s">
        <v>5</v>
      </c>
      <c r="U4" s="31" t="s">
        <v>6</v>
      </c>
      <c r="V4" s="33" t="s">
        <v>7</v>
      </c>
      <c r="W4" s="31"/>
      <c r="X4" s="31"/>
      <c r="Y4" s="30"/>
      <c r="Z4" s="34"/>
      <c r="AA4" s="35"/>
      <c r="AC4" s="36"/>
    </row>
    <row r="5" ht="45" customHeight="1" spans="1:30">
      <c r="A5" s="37" t="s">
        <v>8</v>
      </c>
      <c r="B5" s="38" t="s">
        <v>9</v>
      </c>
      <c r="C5" s="39"/>
      <c r="D5" s="38" t="s">
        <v>10</v>
      </c>
      <c r="E5" s="40" t="s">
        <v>11</v>
      </c>
      <c r="F5" s="19"/>
      <c r="G5" s="41" t="s">
        <v>12</v>
      </c>
      <c r="H5" s="21" t="s">
        <v>13</v>
      </c>
      <c r="I5" s="42" t="s">
        <v>14</v>
      </c>
      <c r="J5" s="43" t="s">
        <v>15</v>
      </c>
      <c r="K5" s="44" t="s">
        <v>16</v>
      </c>
      <c r="L5" s="37"/>
      <c r="M5" s="45"/>
      <c r="N5" s="37"/>
      <c r="O5" s="43" t="s">
        <v>15</v>
      </c>
      <c r="P5" s="46"/>
      <c r="Q5" s="47" t="s">
        <v>17</v>
      </c>
      <c r="R5" s="48" t="s">
        <v>18</v>
      </c>
      <c r="S5" s="49" t="s">
        <v>19</v>
      </c>
      <c r="T5" s="50" t="s">
        <v>20</v>
      </c>
      <c r="U5" s="48"/>
      <c r="V5" s="51" t="s">
        <v>18</v>
      </c>
      <c r="W5" s="48" t="s">
        <v>21</v>
      </c>
      <c r="X5" s="48" t="s">
        <v>22</v>
      </c>
      <c r="Y5" s="47" t="s">
        <v>23</v>
      </c>
      <c r="Z5" s="52" t="s">
        <v>24</v>
      </c>
      <c r="AA5" s="35" t="s">
        <v>25</v>
      </c>
      <c r="AB5" s="53" t="s">
        <v>26</v>
      </c>
      <c r="AC5" s="54" t="s">
        <v>27</v>
      </c>
      <c r="AD5" s="1" t="s">
        <v>28</v>
      </c>
    </row>
    <row r="6" ht="13.8" customHeight="1" spans="1:30">
      <c r="A6" s="37"/>
      <c r="B6" s="38"/>
      <c r="C6" s="38"/>
      <c r="D6" s="38"/>
      <c r="E6" s="40"/>
      <c r="F6" s="19"/>
      <c r="G6" s="41"/>
      <c r="H6" s="21"/>
      <c r="I6" s="42"/>
      <c r="J6" s="43"/>
      <c r="K6" s="55">
        <v>6245885.55000001</v>
      </c>
      <c r="L6" s="37"/>
      <c r="M6" s="45"/>
      <c r="N6" s="37"/>
      <c r="O6" s="43"/>
      <c r="P6" s="46"/>
      <c r="Q6" s="56"/>
      <c r="R6" s="57"/>
      <c r="S6" s="58"/>
      <c r="T6" s="59"/>
      <c r="U6" s="57"/>
      <c r="V6" s="60"/>
      <c r="W6" s="57"/>
      <c r="X6" s="57"/>
      <c r="Y6" s="56"/>
      <c r="Z6" s="57"/>
      <c r="AA6" s="35"/>
      <c r="AB6" s="53"/>
      <c r="AC6" s="54"/>
    </row>
    <row r="7" ht="13.5" customHeight="1" spans="1:30">
      <c r="A7" s="61"/>
      <c r="B7" s="38"/>
      <c r="C7" s="37"/>
      <c r="D7" s="37"/>
      <c r="E7" s="40"/>
      <c r="F7" s="19"/>
      <c r="G7" s="41" t="s">
        <v>29</v>
      </c>
      <c r="H7" s="21"/>
      <c r="I7" s="21"/>
      <c r="J7" s="62"/>
      <c r="K7" s="55">
        <v>6245885.55000001</v>
      </c>
      <c r="L7" s="62"/>
      <c r="M7" s="45"/>
      <c r="N7" s="37"/>
      <c r="O7" s="62"/>
      <c r="P7" s="37"/>
      <c r="Q7" s="63"/>
      <c r="R7" s="23"/>
      <c r="S7" s="23"/>
      <c r="T7" s="63"/>
      <c r="U7" s="20"/>
      <c r="V7" s="64"/>
      <c r="W7" s="23"/>
      <c r="X7" s="23"/>
      <c r="Y7" s="63"/>
      <c r="Z7" s="65"/>
      <c r="AA7" s="66"/>
      <c r="AB7" s="53"/>
      <c r="AC7" s="67"/>
    </row>
    <row r="8" ht="12.75" customHeight="1" spans="1:30">
      <c r="A8" s="10"/>
      <c r="B8" s="68"/>
      <c r="C8" s="69"/>
      <c r="D8" s="69"/>
      <c r="E8" s="70" t="s">
        <v>30</v>
      </c>
      <c r="F8" s="71"/>
      <c r="G8" s="72"/>
      <c r="H8" s="73"/>
      <c r="I8" s="73"/>
      <c r="J8" s="74"/>
      <c r="K8" s="55">
        <v>6245885.55000001</v>
      </c>
      <c r="L8" s="75"/>
      <c r="M8" s="76"/>
      <c r="N8" s="10"/>
      <c r="O8" s="74"/>
      <c r="P8" s="10"/>
      <c r="Q8" s="63"/>
      <c r="R8" s="23"/>
      <c r="S8" s="23"/>
      <c r="T8" s="63"/>
      <c r="U8" s="20"/>
      <c r="V8" s="64"/>
      <c r="W8" s="23"/>
      <c r="X8" s="23"/>
      <c r="Y8" s="63"/>
      <c r="Z8" s="65"/>
      <c r="AA8" s="66"/>
      <c r="AB8" s="53"/>
      <c r="AC8" s="67"/>
    </row>
    <row r="9" ht="12.75" customHeight="1" spans="1:30">
      <c r="A9" s="10"/>
      <c r="B9" s="17"/>
      <c r="C9" s="10"/>
      <c r="D9" s="77"/>
      <c r="E9" s="40"/>
      <c r="F9" s="19"/>
      <c r="G9" s="41"/>
      <c r="H9" s="21"/>
      <c r="I9" s="21"/>
      <c r="J9" s="22"/>
      <c r="K9" s="55">
        <v>6245885.55000001</v>
      </c>
      <c r="L9" s="24"/>
      <c r="M9" s="25"/>
      <c r="N9" s="37"/>
      <c r="O9" s="22"/>
      <c r="P9" s="10"/>
      <c r="Q9" s="63"/>
      <c r="R9" s="23"/>
      <c r="S9" s="23"/>
      <c r="T9" s="63"/>
      <c r="U9" s="20"/>
      <c r="V9" s="64"/>
      <c r="W9" s="23"/>
      <c r="X9" s="23"/>
      <c r="Y9" s="63"/>
      <c r="Z9" s="65"/>
      <c r="AA9" s="66"/>
      <c r="AB9" s="53"/>
      <c r="AC9" s="67"/>
    </row>
    <row r="10" ht="12.75" customHeight="1" spans="1:30">
      <c r="A10" s="10"/>
      <c r="B10" s="17"/>
      <c r="C10" s="10"/>
      <c r="D10" s="77"/>
      <c r="E10" s="40" t="s">
        <v>31</v>
      </c>
      <c r="F10" s="19"/>
      <c r="G10" s="78"/>
      <c r="H10" s="21"/>
      <c r="I10" s="21"/>
      <c r="J10" s="22"/>
      <c r="K10" s="79">
        <f t="shared" ref="K10:K17" si="0">K9+G10-J10</f>
        <v>6245885.55000001</v>
      </c>
      <c r="L10" s="24"/>
      <c r="M10" s="41"/>
      <c r="N10" s="23"/>
      <c r="O10" s="22"/>
      <c r="P10" s="10"/>
      <c r="Q10" s="63"/>
      <c r="R10" s="23"/>
      <c r="S10" s="23"/>
      <c r="T10" s="63"/>
      <c r="U10" s="20"/>
      <c r="V10" s="64"/>
      <c r="W10" s="23"/>
      <c r="X10" s="23"/>
      <c r="Y10" s="63"/>
      <c r="Z10" s="65"/>
      <c r="AA10" s="66"/>
      <c r="AB10" s="53"/>
      <c r="AC10" s="67"/>
    </row>
    <row r="11" ht="12.75" customHeight="1" spans="1:30">
      <c r="A11" s="10"/>
      <c r="B11" s="17"/>
      <c r="C11" s="10"/>
      <c r="D11" s="77"/>
      <c r="E11" s="40" t="s">
        <v>32</v>
      </c>
      <c r="F11" s="19"/>
      <c r="G11" s="41"/>
      <c r="H11" s="21"/>
      <c r="I11" s="21"/>
      <c r="J11" s="22"/>
      <c r="K11" s="79">
        <f t="shared" si="0"/>
        <v>6245885.55000001</v>
      </c>
      <c r="L11" s="24"/>
      <c r="M11" s="41"/>
      <c r="N11" s="23"/>
      <c r="O11" s="22"/>
      <c r="P11" s="10"/>
      <c r="Q11" s="63"/>
      <c r="R11" s="23"/>
      <c r="S11" s="23"/>
      <c r="T11" s="63"/>
      <c r="U11" s="20"/>
      <c r="V11" s="64"/>
      <c r="W11" s="23"/>
      <c r="X11" s="23"/>
      <c r="Y11" s="63"/>
      <c r="Z11" s="65"/>
      <c r="AA11" s="66"/>
      <c r="AB11" s="53"/>
      <c r="AC11" s="67"/>
    </row>
    <row r="12" ht="12.75" customHeight="1" spans="1:30">
      <c r="A12" s="10"/>
      <c r="B12" s="17"/>
      <c r="C12" s="10"/>
      <c r="D12" s="77"/>
      <c r="E12" s="18"/>
      <c r="F12" s="19"/>
      <c r="G12" s="41"/>
      <c r="H12" s="21"/>
      <c r="I12" s="21"/>
      <c r="J12" s="22"/>
      <c r="K12" s="79">
        <f t="shared" si="0"/>
        <v>6245885.55000001</v>
      </c>
      <c r="L12" s="24"/>
      <c r="M12" s="41"/>
      <c r="N12" s="23"/>
      <c r="O12" s="22"/>
      <c r="P12" s="10"/>
      <c r="Q12" s="63"/>
      <c r="R12" s="23"/>
      <c r="S12" s="23"/>
      <c r="T12" s="63"/>
      <c r="U12" s="20"/>
      <c r="V12" s="64"/>
      <c r="W12" s="23"/>
      <c r="X12" s="23"/>
      <c r="Y12" s="63"/>
      <c r="Z12" s="65"/>
      <c r="AA12" s="66"/>
      <c r="AB12" s="53"/>
      <c r="AC12" s="67"/>
    </row>
    <row r="13" ht="12.75" customHeight="1" spans="1:30">
      <c r="A13" s="10"/>
      <c r="B13" s="80">
        <v>1700000</v>
      </c>
      <c r="C13" s="10"/>
      <c r="D13" s="77"/>
      <c r="E13" s="81" t="s">
        <v>33</v>
      </c>
      <c r="F13" s="82"/>
      <c r="G13" s="21">
        <v>2000000</v>
      </c>
      <c r="H13" s="21"/>
      <c r="I13" s="21"/>
      <c r="J13" s="22"/>
      <c r="K13" s="79">
        <f t="shared" si="0"/>
        <v>8245885.55000001</v>
      </c>
      <c r="L13" s="24"/>
      <c r="M13" s="25"/>
      <c r="N13" s="23"/>
      <c r="O13" s="22"/>
      <c r="P13" s="10"/>
      <c r="Q13" s="63"/>
      <c r="R13" s="23"/>
      <c r="S13" s="23"/>
      <c r="T13" s="63"/>
      <c r="U13" s="20"/>
      <c r="V13" s="64"/>
      <c r="W13" s="23"/>
      <c r="X13" s="23"/>
      <c r="Y13" s="63"/>
      <c r="Z13" s="65"/>
      <c r="AA13" s="66"/>
      <c r="AB13" s="53"/>
      <c r="AC13" s="67"/>
    </row>
    <row r="14" ht="12.75" customHeight="1" spans="1:30">
      <c r="A14" s="10"/>
      <c r="B14" s="83"/>
      <c r="C14" s="10"/>
      <c r="D14" s="77"/>
      <c r="E14" s="84" t="s">
        <v>34</v>
      </c>
      <c r="F14" s="19"/>
      <c r="G14" s="41"/>
      <c r="H14" s="21"/>
      <c r="I14" s="21"/>
      <c r="J14" s="22"/>
      <c r="K14" s="79">
        <f t="shared" si="0"/>
        <v>8245885.55000001</v>
      </c>
      <c r="L14" s="24"/>
      <c r="M14" s="25"/>
      <c r="N14" s="23"/>
      <c r="O14" s="22"/>
      <c r="P14" s="10"/>
      <c r="Q14" s="63"/>
      <c r="R14" s="23"/>
      <c r="S14" s="23"/>
      <c r="T14" s="63"/>
      <c r="U14" s="20"/>
      <c r="V14" s="64"/>
      <c r="W14" s="23"/>
      <c r="X14" s="23"/>
      <c r="Y14" s="63"/>
      <c r="Z14" s="65"/>
      <c r="AA14" s="66"/>
      <c r="AB14" s="53"/>
      <c r="AC14" s="67"/>
    </row>
    <row r="15" ht="12.75" customHeight="1" spans="1:30">
      <c r="A15" s="10"/>
      <c r="B15" s="83"/>
      <c r="C15" s="10"/>
      <c r="D15" s="77"/>
      <c r="E15" s="84"/>
      <c r="F15" s="19"/>
      <c r="G15" s="41"/>
      <c r="H15" s="21"/>
      <c r="I15" s="21"/>
      <c r="J15" s="22"/>
      <c r="K15" s="79">
        <f t="shared" si="0"/>
        <v>8245885.55000001</v>
      </c>
      <c r="L15" s="24"/>
      <c r="M15" s="25"/>
      <c r="N15" s="23"/>
      <c r="O15" s="22"/>
      <c r="P15" s="10"/>
      <c r="Q15" s="63"/>
      <c r="R15" s="23"/>
      <c r="S15" s="23"/>
      <c r="T15" s="63"/>
      <c r="U15" s="20"/>
      <c r="V15" s="64"/>
      <c r="W15" s="23"/>
      <c r="X15" s="23"/>
      <c r="Y15" s="63"/>
      <c r="Z15" s="65"/>
      <c r="AA15" s="66"/>
      <c r="AB15" s="53"/>
      <c r="AC15" s="67"/>
    </row>
    <row r="16" ht="12.75" customHeight="1" spans="1:30">
      <c r="A16" s="10"/>
      <c r="B16" s="83"/>
      <c r="C16" s="10"/>
      <c r="D16" s="77"/>
      <c r="E16" s="84"/>
      <c r="F16" s="19"/>
      <c r="G16" s="41"/>
      <c r="H16" s="21"/>
      <c r="I16" s="21"/>
      <c r="J16" s="22"/>
      <c r="K16" s="79">
        <f t="shared" si="0"/>
        <v>8245885.55000001</v>
      </c>
      <c r="L16" s="24"/>
      <c r="M16" s="25"/>
      <c r="N16" s="23"/>
      <c r="O16" s="22"/>
      <c r="P16" s="10"/>
      <c r="Q16" s="63"/>
      <c r="R16" s="23"/>
      <c r="S16" s="23"/>
      <c r="T16" s="63"/>
      <c r="U16" s="20"/>
      <c r="V16" s="64"/>
      <c r="W16" s="23"/>
      <c r="X16" s="23"/>
      <c r="Y16" s="63"/>
      <c r="Z16" s="65"/>
      <c r="AA16" s="66"/>
      <c r="AB16" s="53"/>
      <c r="AC16" s="67"/>
    </row>
    <row r="17" ht="12.6" customHeight="1" spans="1:30">
      <c r="A17" s="10"/>
      <c r="B17" s="17"/>
      <c r="C17" s="10"/>
      <c r="D17" s="85"/>
      <c r="E17" s="86" t="s">
        <v>35</v>
      </c>
      <c r="F17" s="87" t="s">
        <v>36</v>
      </c>
      <c r="G17" s="88"/>
      <c r="H17" s="89"/>
      <c r="I17" s="89"/>
      <c r="J17" s="90"/>
      <c r="K17" s="79">
        <f t="shared" si="0"/>
        <v>8245885.55000001</v>
      </c>
      <c r="L17" s="91"/>
      <c r="M17" s="23"/>
      <c r="N17" s="10"/>
      <c r="O17" s="62"/>
      <c r="P17" s="10"/>
      <c r="Q17" s="63"/>
      <c r="R17" s="23"/>
      <c r="S17" s="23"/>
      <c r="T17" s="63"/>
      <c r="U17" s="20"/>
      <c r="V17" s="64"/>
      <c r="W17" s="23"/>
      <c r="X17" s="23"/>
      <c r="Y17" s="63"/>
      <c r="Z17" s="65"/>
      <c r="AA17" s="66"/>
      <c r="AB17" s="53"/>
      <c r="AC17" s="67"/>
    </row>
    <row r="18" ht="12.6" customHeight="1" spans="1:30">
      <c r="A18" s="92"/>
      <c r="B18" s="93" t="s">
        <v>37</v>
      </c>
      <c r="C18" s="92"/>
      <c r="D18" s="94" t="s">
        <v>38</v>
      </c>
      <c r="E18" s="95" t="s">
        <v>39</v>
      </c>
      <c r="F18" s="96"/>
      <c r="G18" s="97"/>
      <c r="H18" s="97">
        <v>100000</v>
      </c>
      <c r="I18" s="97"/>
      <c r="J18" s="98">
        <v>100000</v>
      </c>
      <c r="K18" s="79">
        <f>K14+G18-J18</f>
        <v>8145885.55000001</v>
      </c>
      <c r="L18" s="99"/>
      <c r="M18" s="100"/>
      <c r="N18" s="101"/>
      <c r="O18" s="102"/>
      <c r="P18" s="92"/>
      <c r="Q18" s="103" t="s">
        <v>40</v>
      </c>
      <c r="R18" s="103">
        <v>5389496</v>
      </c>
      <c r="S18" s="103">
        <v>12</v>
      </c>
      <c r="T18" s="104">
        <v>8606.65</v>
      </c>
      <c r="U18" s="105" t="s">
        <v>41</v>
      </c>
      <c r="V18" s="106">
        <v>13045</v>
      </c>
      <c r="W18" s="104" t="s">
        <v>42</v>
      </c>
      <c r="X18" s="104" t="s">
        <v>43</v>
      </c>
      <c r="Y18" s="103">
        <v>4160674</v>
      </c>
      <c r="Z18" s="107" t="s">
        <v>37</v>
      </c>
      <c r="AA18" s="108"/>
      <c r="AB18" s="109"/>
      <c r="AC18" s="110" t="s">
        <v>44</v>
      </c>
      <c r="AD18" s="111"/>
    </row>
    <row r="19" ht="12.6" customHeight="1" spans="1:30">
      <c r="A19" s="92"/>
      <c r="B19" s="93" t="s">
        <v>37</v>
      </c>
      <c r="C19" s="92"/>
      <c r="D19" s="94" t="s">
        <v>45</v>
      </c>
      <c r="E19" s="95" t="s">
        <v>46</v>
      </c>
      <c r="F19" s="96"/>
      <c r="G19" s="97"/>
      <c r="H19" s="97">
        <v>65000</v>
      </c>
      <c r="I19" s="97"/>
      <c r="J19" s="112">
        <v>65000</v>
      </c>
      <c r="K19" s="79">
        <f>K17+G19-J19</f>
        <v>8180885.55000001</v>
      </c>
      <c r="L19" s="99"/>
      <c r="M19" s="100"/>
      <c r="N19" s="101"/>
      <c r="O19" s="102"/>
      <c r="P19" s="92"/>
      <c r="Q19" s="103" t="s">
        <v>47</v>
      </c>
      <c r="R19" s="103">
        <v>5398710</v>
      </c>
      <c r="S19" s="103">
        <v>60</v>
      </c>
      <c r="T19" s="104">
        <v>1256.64</v>
      </c>
      <c r="U19" s="105" t="s">
        <v>41</v>
      </c>
      <c r="V19" s="106">
        <v>13048</v>
      </c>
      <c r="W19" s="104" t="s">
        <v>48</v>
      </c>
      <c r="X19" s="104" t="s">
        <v>49</v>
      </c>
      <c r="Y19" s="103">
        <v>4160464</v>
      </c>
      <c r="Z19" s="107" t="s">
        <v>37</v>
      </c>
      <c r="AA19" s="108"/>
      <c r="AB19" s="109"/>
      <c r="AC19" s="110" t="s">
        <v>50</v>
      </c>
      <c r="AD19" s="111"/>
    </row>
    <row r="20" ht="12.6" customHeight="1" spans="1:30">
      <c r="A20" s="92"/>
      <c r="B20" s="93" t="s">
        <v>37</v>
      </c>
      <c r="C20" s="92"/>
      <c r="D20" s="94" t="s">
        <v>51</v>
      </c>
      <c r="E20" s="95" t="s">
        <v>52</v>
      </c>
      <c r="F20" s="96"/>
      <c r="G20" s="97"/>
      <c r="H20" s="97">
        <v>80000</v>
      </c>
      <c r="I20" s="97"/>
      <c r="J20" s="97">
        <v>80000</v>
      </c>
      <c r="K20" s="79">
        <f t="shared" ref="K20:K31" si="1">K19+G20-J20</f>
        <v>8100885.55000001</v>
      </c>
      <c r="L20" s="99"/>
      <c r="M20" s="100"/>
      <c r="N20" s="101"/>
      <c r="O20" s="102"/>
      <c r="P20" s="92"/>
      <c r="Q20" s="103" t="s">
        <v>53</v>
      </c>
      <c r="R20" s="103">
        <v>5389608</v>
      </c>
      <c r="S20" s="103">
        <v>60</v>
      </c>
      <c r="T20" s="104">
        <v>1546.63</v>
      </c>
      <c r="U20" s="105" t="s">
        <v>54</v>
      </c>
      <c r="V20" s="113">
        <v>13049</v>
      </c>
      <c r="W20" s="104" t="s">
        <v>55</v>
      </c>
      <c r="X20" s="104" t="s">
        <v>56</v>
      </c>
      <c r="Y20" s="103">
        <v>4337542</v>
      </c>
      <c r="Z20" s="107" t="s">
        <v>37</v>
      </c>
      <c r="AA20" s="108"/>
      <c r="AB20" s="109"/>
      <c r="AC20" s="110" t="s">
        <v>57</v>
      </c>
      <c r="AD20" s="111"/>
    </row>
    <row r="21" ht="12.6" customHeight="1" spans="1:30">
      <c r="A21" s="92"/>
      <c r="B21" s="93" t="s">
        <v>37</v>
      </c>
      <c r="C21" s="92"/>
      <c r="D21" s="94" t="s">
        <v>58</v>
      </c>
      <c r="E21" s="95" t="s">
        <v>59</v>
      </c>
      <c r="F21" s="96"/>
      <c r="G21" s="97"/>
      <c r="H21" s="97">
        <v>100000</v>
      </c>
      <c r="I21" s="97"/>
      <c r="J21" s="98">
        <v>100000</v>
      </c>
      <c r="K21" s="79">
        <f t="shared" si="1"/>
        <v>8000885.55000001</v>
      </c>
      <c r="L21" s="99"/>
      <c r="M21" s="100"/>
      <c r="N21" s="101"/>
      <c r="O21" s="102"/>
      <c r="P21" s="92"/>
      <c r="Q21" s="103">
        <v>531</v>
      </c>
      <c r="R21" s="103">
        <v>4671251</v>
      </c>
      <c r="S21" s="103">
        <v>24</v>
      </c>
      <c r="T21" s="104">
        <v>4432.07</v>
      </c>
      <c r="U21" s="105" t="s">
        <v>41</v>
      </c>
      <c r="V21" s="106">
        <v>13050</v>
      </c>
      <c r="W21" s="104" t="s">
        <v>60</v>
      </c>
      <c r="X21" s="104" t="s">
        <v>61</v>
      </c>
      <c r="Y21" s="103">
        <v>4263955</v>
      </c>
      <c r="Z21" s="107" t="s">
        <v>37</v>
      </c>
      <c r="AA21" s="108"/>
      <c r="AB21" s="109"/>
      <c r="AC21" s="110" t="s">
        <v>62</v>
      </c>
      <c r="AD21" s="111"/>
    </row>
    <row r="22" ht="12.6" customHeight="1" spans="1:30">
      <c r="A22" s="92"/>
      <c r="B22" s="93" t="s">
        <v>63</v>
      </c>
      <c r="C22" s="92"/>
      <c r="D22" s="94" t="s">
        <v>64</v>
      </c>
      <c r="E22" s="95" t="s">
        <v>65</v>
      </c>
      <c r="F22" s="96"/>
      <c r="G22" s="97"/>
      <c r="H22" s="97">
        <v>106000</v>
      </c>
      <c r="I22" s="97">
        <v>80797.88</v>
      </c>
      <c r="J22" s="98">
        <v>25202.12</v>
      </c>
      <c r="K22" s="79">
        <f t="shared" si="1"/>
        <v>7975683.43000001</v>
      </c>
      <c r="L22" s="99"/>
      <c r="M22" s="100"/>
      <c r="N22" s="101"/>
      <c r="O22" s="102"/>
      <c r="P22" s="92"/>
      <c r="Q22" s="103" t="s">
        <v>66</v>
      </c>
      <c r="R22" s="103">
        <v>5403873</v>
      </c>
      <c r="S22" s="103">
        <v>60</v>
      </c>
      <c r="T22" s="104">
        <v>2049.28</v>
      </c>
      <c r="U22" s="105" t="s">
        <v>67</v>
      </c>
      <c r="V22" s="113">
        <v>13051</v>
      </c>
      <c r="W22" s="104" t="s">
        <v>68</v>
      </c>
      <c r="X22" s="104" t="s">
        <v>69</v>
      </c>
      <c r="Y22" s="103">
        <v>5383381</v>
      </c>
      <c r="Z22" s="107" t="s">
        <v>63</v>
      </c>
      <c r="AA22" s="108">
        <v>2908219</v>
      </c>
      <c r="AB22" s="109" t="s">
        <v>70</v>
      </c>
      <c r="AC22" s="110" t="s">
        <v>71</v>
      </c>
      <c r="AD22" s="111"/>
    </row>
    <row r="23" ht="12.6" customHeight="1" spans="1:30">
      <c r="A23" s="92"/>
      <c r="B23" s="93" t="s">
        <v>72</v>
      </c>
      <c r="C23" s="92"/>
      <c r="D23" s="94" t="s">
        <v>73</v>
      </c>
      <c r="E23" s="114" t="s">
        <v>74</v>
      </c>
      <c r="F23" s="96" t="s">
        <v>72</v>
      </c>
      <c r="G23" s="97"/>
      <c r="H23" s="97">
        <v>1933.29</v>
      </c>
      <c r="I23" s="97"/>
      <c r="J23" s="98">
        <v>1933.29</v>
      </c>
      <c r="K23" s="79">
        <f t="shared" si="1"/>
        <v>7973750.14000001</v>
      </c>
      <c r="L23" s="99"/>
      <c r="M23" s="100"/>
      <c r="N23" s="101"/>
      <c r="O23" s="102"/>
      <c r="P23" s="92"/>
      <c r="Q23" s="103"/>
      <c r="R23" s="103"/>
      <c r="S23" s="103"/>
      <c r="T23" s="104"/>
      <c r="U23" s="105"/>
      <c r="V23" s="115"/>
      <c r="W23" s="104"/>
      <c r="X23" s="104"/>
      <c r="Y23" s="103"/>
      <c r="Z23" s="107"/>
      <c r="AA23" s="108"/>
      <c r="AB23" s="109"/>
      <c r="AC23" s="110" t="s">
        <v>75</v>
      </c>
      <c r="AD23" s="111"/>
    </row>
    <row r="24" ht="12.6" customHeight="1" spans="1:30">
      <c r="A24" s="92"/>
      <c r="B24" s="93" t="s">
        <v>37</v>
      </c>
      <c r="C24" s="92"/>
      <c r="D24" s="94" t="s">
        <v>76</v>
      </c>
      <c r="E24" s="95" t="s">
        <v>77</v>
      </c>
      <c r="F24" s="96"/>
      <c r="G24" s="97"/>
      <c r="H24" s="97">
        <v>100000</v>
      </c>
      <c r="I24" s="97"/>
      <c r="J24" s="98">
        <v>100000</v>
      </c>
      <c r="K24" s="79">
        <f t="shared" si="1"/>
        <v>7873750.14000001</v>
      </c>
      <c r="L24" s="99"/>
      <c r="M24" s="100"/>
      <c r="N24" s="101"/>
      <c r="O24" s="102"/>
      <c r="P24" s="92"/>
      <c r="Q24" s="103" t="s">
        <v>78</v>
      </c>
      <c r="R24" s="103">
        <v>4261367</v>
      </c>
      <c r="S24" s="103">
        <v>12</v>
      </c>
      <c r="T24" s="104">
        <v>8606.65</v>
      </c>
      <c r="U24" s="105" t="s">
        <v>54</v>
      </c>
      <c r="V24" s="116">
        <v>13052</v>
      </c>
      <c r="W24" s="104" t="s">
        <v>79</v>
      </c>
      <c r="X24" s="104" t="s">
        <v>80</v>
      </c>
      <c r="Y24" s="103">
        <v>4260381</v>
      </c>
      <c r="Z24" s="107" t="s">
        <v>37</v>
      </c>
      <c r="AA24" s="108"/>
      <c r="AB24" s="109"/>
      <c r="AC24" s="110" t="s">
        <v>81</v>
      </c>
      <c r="AD24" s="111"/>
    </row>
    <row r="25" ht="12.6" customHeight="1" spans="1:30">
      <c r="A25" s="92"/>
      <c r="B25" s="93" t="s">
        <v>37</v>
      </c>
      <c r="C25" s="92"/>
      <c r="D25" s="94" t="s">
        <v>82</v>
      </c>
      <c r="E25" s="95" t="s">
        <v>83</v>
      </c>
      <c r="F25" s="96"/>
      <c r="G25" s="97"/>
      <c r="H25" s="97">
        <v>100000</v>
      </c>
      <c r="I25" s="97"/>
      <c r="J25" s="97">
        <v>100000</v>
      </c>
      <c r="K25" s="79">
        <f t="shared" si="1"/>
        <v>7773750.14000001</v>
      </c>
      <c r="L25" s="99"/>
      <c r="M25" s="100"/>
      <c r="N25" s="101"/>
      <c r="O25" s="102"/>
      <c r="P25" s="92"/>
      <c r="Q25" s="103" t="s">
        <v>84</v>
      </c>
      <c r="R25" s="103">
        <v>4333971</v>
      </c>
      <c r="S25" s="103">
        <v>24</v>
      </c>
      <c r="T25" s="104">
        <v>4432.07</v>
      </c>
      <c r="U25" s="105" t="s">
        <v>54</v>
      </c>
      <c r="V25" s="116">
        <v>13053</v>
      </c>
      <c r="W25" s="104" t="s">
        <v>85</v>
      </c>
      <c r="X25" s="104" t="s">
        <v>86</v>
      </c>
      <c r="Y25" s="103">
        <v>4339317</v>
      </c>
      <c r="Z25" s="107" t="s">
        <v>37</v>
      </c>
      <c r="AA25" s="108"/>
      <c r="AB25" s="109"/>
      <c r="AC25" s="110" t="s">
        <v>87</v>
      </c>
      <c r="AD25" s="111"/>
    </row>
    <row r="26" ht="12.6" customHeight="1" spans="1:30">
      <c r="A26" s="92"/>
      <c r="B26" s="93" t="s">
        <v>37</v>
      </c>
      <c r="C26" s="92"/>
      <c r="D26" s="94" t="s">
        <v>88</v>
      </c>
      <c r="E26" s="95" t="s">
        <v>86</v>
      </c>
      <c r="F26" s="96"/>
      <c r="G26" s="97"/>
      <c r="H26" s="97">
        <v>100000</v>
      </c>
      <c r="I26" s="97"/>
      <c r="J26" s="97">
        <v>100000</v>
      </c>
      <c r="K26" s="79">
        <f t="shared" si="1"/>
        <v>7673750.14000001</v>
      </c>
      <c r="L26" s="99"/>
      <c r="M26" s="100"/>
      <c r="N26" s="101"/>
      <c r="O26" s="102"/>
      <c r="P26" s="92"/>
      <c r="Q26" s="103" t="s">
        <v>84</v>
      </c>
      <c r="R26" s="103">
        <v>4339317</v>
      </c>
      <c r="S26" s="103">
        <v>24</v>
      </c>
      <c r="T26" s="104">
        <v>4432.07</v>
      </c>
      <c r="U26" s="105" t="s">
        <v>54</v>
      </c>
      <c r="V26" s="116">
        <v>13054</v>
      </c>
      <c r="W26" s="104" t="s">
        <v>85</v>
      </c>
      <c r="X26" s="104" t="s">
        <v>89</v>
      </c>
      <c r="Y26" s="103">
        <v>4331218</v>
      </c>
      <c r="Z26" s="107" t="s">
        <v>37</v>
      </c>
      <c r="AA26" s="108"/>
      <c r="AB26" s="109"/>
      <c r="AC26" s="110" t="s">
        <v>90</v>
      </c>
      <c r="AD26" s="111"/>
    </row>
    <row r="27" ht="12.6" customHeight="1" spans="1:30">
      <c r="A27" s="92"/>
      <c r="B27" s="93" t="s">
        <v>37</v>
      </c>
      <c r="C27" s="92"/>
      <c r="D27" s="94" t="s">
        <v>91</v>
      </c>
      <c r="E27" s="95" t="s">
        <v>92</v>
      </c>
      <c r="F27" s="96"/>
      <c r="G27" s="97"/>
      <c r="H27" s="97">
        <v>100000</v>
      </c>
      <c r="I27" s="97"/>
      <c r="J27" s="98">
        <v>100000</v>
      </c>
      <c r="K27" s="79">
        <f t="shared" si="1"/>
        <v>7573750.14000001</v>
      </c>
      <c r="L27" s="99"/>
      <c r="M27" s="100"/>
      <c r="N27" s="101"/>
      <c r="O27" s="102"/>
      <c r="P27" s="92"/>
      <c r="Q27" s="103" t="s">
        <v>93</v>
      </c>
      <c r="R27" s="103">
        <v>5394430</v>
      </c>
      <c r="S27" s="103">
        <v>60</v>
      </c>
      <c r="T27" s="104">
        <v>1933.29</v>
      </c>
      <c r="U27" s="105" t="s">
        <v>54</v>
      </c>
      <c r="V27" s="116">
        <v>13055</v>
      </c>
      <c r="W27" s="104" t="s">
        <v>94</v>
      </c>
      <c r="X27" s="104" t="s">
        <v>95</v>
      </c>
      <c r="Y27" s="103">
        <v>4278123</v>
      </c>
      <c r="Z27" s="107" t="s">
        <v>37</v>
      </c>
      <c r="AA27" s="108"/>
      <c r="AB27" s="109"/>
      <c r="AC27" s="110" t="s">
        <v>96</v>
      </c>
      <c r="AD27" s="111"/>
    </row>
    <row r="28" ht="12.6" customHeight="1" spans="1:30">
      <c r="A28" s="92"/>
      <c r="B28" s="93" t="s">
        <v>37</v>
      </c>
      <c r="C28" s="92"/>
      <c r="D28" s="94" t="s">
        <v>97</v>
      </c>
      <c r="E28" s="95" t="s">
        <v>98</v>
      </c>
      <c r="F28" s="96"/>
      <c r="G28" s="97"/>
      <c r="H28" s="97">
        <v>50000</v>
      </c>
      <c r="I28" s="97"/>
      <c r="J28" s="98">
        <v>50000</v>
      </c>
      <c r="K28" s="79">
        <f t="shared" si="1"/>
        <v>7523750.14000001</v>
      </c>
      <c r="L28" s="99"/>
      <c r="M28" s="100"/>
      <c r="N28" s="101"/>
      <c r="O28" s="102"/>
      <c r="P28" s="92"/>
      <c r="Q28" s="103">
        <v>534</v>
      </c>
      <c r="R28" s="103">
        <v>5390369</v>
      </c>
      <c r="S28" s="103">
        <v>60</v>
      </c>
      <c r="T28" s="104">
        <v>966.65</v>
      </c>
      <c r="U28" s="105" t="s">
        <v>41</v>
      </c>
      <c r="V28" s="116">
        <v>13056</v>
      </c>
      <c r="W28" s="104" t="s">
        <v>99</v>
      </c>
      <c r="X28" s="104" t="s">
        <v>100</v>
      </c>
      <c r="Y28" s="103">
        <v>5383695</v>
      </c>
      <c r="Z28" s="107" t="s">
        <v>37</v>
      </c>
      <c r="AA28" s="108"/>
      <c r="AB28" s="109"/>
      <c r="AC28" s="110" t="s">
        <v>101</v>
      </c>
      <c r="AD28" s="111"/>
    </row>
    <row r="29" ht="12.6" customHeight="1" spans="1:30">
      <c r="A29" s="92"/>
      <c r="B29" s="93" t="s">
        <v>37</v>
      </c>
      <c r="C29" s="92"/>
      <c r="D29" s="94" t="s">
        <v>102</v>
      </c>
      <c r="E29" s="95" t="s">
        <v>103</v>
      </c>
      <c r="F29" s="96"/>
      <c r="G29" s="97"/>
      <c r="H29" s="97">
        <v>100000</v>
      </c>
      <c r="I29" s="97"/>
      <c r="J29" s="98">
        <v>100000</v>
      </c>
      <c r="K29" s="79">
        <f t="shared" si="1"/>
        <v>7423750.14000001</v>
      </c>
      <c r="L29" s="99"/>
      <c r="M29" s="100"/>
      <c r="N29" s="101"/>
      <c r="O29" s="102"/>
      <c r="P29" s="92"/>
      <c r="Q29" s="103" t="s">
        <v>104</v>
      </c>
      <c r="R29" s="103">
        <v>5419405</v>
      </c>
      <c r="S29" s="103">
        <v>24</v>
      </c>
      <c r="T29" s="104">
        <v>4432.07</v>
      </c>
      <c r="U29" s="105" t="s">
        <v>41</v>
      </c>
      <c r="V29" s="116">
        <v>13057</v>
      </c>
      <c r="W29" s="104" t="s">
        <v>105</v>
      </c>
      <c r="X29" s="104" t="s">
        <v>106</v>
      </c>
      <c r="Y29" s="103">
        <v>5407436</v>
      </c>
      <c r="Z29" s="107" t="s">
        <v>37</v>
      </c>
      <c r="AA29" s="108"/>
      <c r="AB29" s="109"/>
      <c r="AC29" s="110" t="s">
        <v>107</v>
      </c>
      <c r="AD29" s="111"/>
    </row>
    <row r="30" ht="12.6" customHeight="1" spans="1:30">
      <c r="A30" s="92"/>
      <c r="B30" s="93" t="s">
        <v>37</v>
      </c>
      <c r="C30" s="92"/>
      <c r="D30" s="94" t="s">
        <v>108</v>
      </c>
      <c r="E30" s="95" t="s">
        <v>109</v>
      </c>
      <c r="F30" s="96"/>
      <c r="G30" s="97"/>
      <c r="H30" s="97">
        <v>100000</v>
      </c>
      <c r="I30" s="97"/>
      <c r="J30" s="98">
        <v>100000</v>
      </c>
      <c r="K30" s="79">
        <f t="shared" si="1"/>
        <v>7323750.14000001</v>
      </c>
      <c r="L30" s="99"/>
      <c r="M30" s="100"/>
      <c r="N30" s="101"/>
      <c r="O30" s="102"/>
      <c r="P30" s="92"/>
      <c r="Q30" s="103">
        <v>588</v>
      </c>
      <c r="R30" s="103">
        <v>5435540</v>
      </c>
      <c r="S30" s="103">
        <v>36</v>
      </c>
      <c r="T30" s="104">
        <v>3042.2</v>
      </c>
      <c r="U30" s="105" t="s">
        <v>110</v>
      </c>
      <c r="V30" s="113">
        <v>13058</v>
      </c>
      <c r="W30" s="104" t="s">
        <v>111</v>
      </c>
      <c r="X30" s="104" t="s">
        <v>112</v>
      </c>
      <c r="Y30" s="103">
        <v>5424081</v>
      </c>
      <c r="Z30" s="107" t="s">
        <v>37</v>
      </c>
      <c r="AA30" s="108"/>
      <c r="AB30" s="109"/>
      <c r="AC30" s="110" t="s">
        <v>113</v>
      </c>
      <c r="AD30" s="111"/>
    </row>
    <row r="31" ht="12.6" customHeight="1" spans="1:30">
      <c r="A31" s="92"/>
      <c r="B31" s="93" t="s">
        <v>37</v>
      </c>
      <c r="C31" s="92"/>
      <c r="D31" s="94" t="s">
        <v>114</v>
      </c>
      <c r="E31" s="95" t="s">
        <v>115</v>
      </c>
      <c r="F31" s="96"/>
      <c r="G31" s="97"/>
      <c r="H31" s="97">
        <v>100000</v>
      </c>
      <c r="I31" s="97"/>
      <c r="J31" s="98">
        <v>100000</v>
      </c>
      <c r="K31" s="79">
        <f t="shared" si="1"/>
        <v>7223750.14000001</v>
      </c>
      <c r="L31" s="99"/>
      <c r="M31" s="100"/>
      <c r="N31" s="101"/>
      <c r="O31" s="102"/>
      <c r="P31" s="92"/>
      <c r="Q31" s="103">
        <v>582</v>
      </c>
      <c r="R31" s="103">
        <v>5402296</v>
      </c>
      <c r="S31" s="103">
        <v>60</v>
      </c>
      <c r="T31" s="104">
        <v>1933.29</v>
      </c>
      <c r="U31" s="105" t="s">
        <v>116</v>
      </c>
      <c r="V31" s="113">
        <v>13059</v>
      </c>
      <c r="W31" s="104" t="s">
        <v>117</v>
      </c>
      <c r="X31" s="104" t="s">
        <v>118</v>
      </c>
      <c r="Y31" s="103">
        <v>5340381</v>
      </c>
      <c r="Z31" s="107" t="s">
        <v>37</v>
      </c>
      <c r="AA31" s="108"/>
      <c r="AB31" s="109"/>
      <c r="AC31" s="110" t="s">
        <v>119</v>
      </c>
      <c r="AD31" s="111"/>
    </row>
    <row r="32" ht="12.6" customHeight="1" spans="1:30">
      <c r="A32" s="92"/>
      <c r="B32" s="93"/>
      <c r="C32" s="92"/>
      <c r="D32" s="94" t="s">
        <v>120</v>
      </c>
      <c r="E32" s="95" t="s">
        <v>121</v>
      </c>
      <c r="F32" s="96" t="s">
        <v>122</v>
      </c>
      <c r="G32" s="97"/>
      <c r="H32" s="117">
        <v>7857.14</v>
      </c>
      <c r="I32" s="97"/>
      <c r="J32" s="117">
        <v>7857.14</v>
      </c>
      <c r="K32" s="101"/>
      <c r="L32" s="99"/>
      <c r="M32" s="100"/>
      <c r="N32" s="101"/>
      <c r="O32" s="102"/>
      <c r="P32" s="92"/>
      <c r="Q32" s="103"/>
      <c r="R32" s="103"/>
      <c r="S32" s="103"/>
      <c r="T32" s="104"/>
      <c r="U32" s="105"/>
      <c r="V32" s="113">
        <v>13060</v>
      </c>
      <c r="W32" s="104" t="s">
        <v>68</v>
      </c>
      <c r="X32" s="104"/>
      <c r="Y32" s="103"/>
      <c r="Z32" s="107"/>
      <c r="AA32" s="108"/>
      <c r="AB32" s="109"/>
      <c r="AC32" s="110" t="s">
        <v>123</v>
      </c>
      <c r="AD32" s="111"/>
    </row>
    <row r="33" ht="12.6" customHeight="1" spans="1:30">
      <c r="A33" s="92"/>
      <c r="B33" s="93"/>
      <c r="C33" s="92"/>
      <c r="D33" s="94" t="s">
        <v>124</v>
      </c>
      <c r="E33" s="118" t="s">
        <v>125</v>
      </c>
      <c r="F33" s="96" t="s">
        <v>122</v>
      </c>
      <c r="G33" s="97"/>
      <c r="H33" s="117">
        <v>7857.14</v>
      </c>
      <c r="I33" s="97"/>
      <c r="J33" s="117">
        <v>7857.14</v>
      </c>
      <c r="K33" s="101"/>
      <c r="L33" s="99"/>
      <c r="M33" s="100"/>
      <c r="N33" s="101"/>
      <c r="O33" s="102"/>
      <c r="P33" s="92"/>
      <c r="Q33" s="103"/>
      <c r="R33" s="103"/>
      <c r="S33" s="103"/>
      <c r="T33" s="104"/>
      <c r="U33" s="105"/>
      <c r="V33" s="113">
        <v>13061</v>
      </c>
      <c r="W33" s="104" t="s">
        <v>68</v>
      </c>
      <c r="X33" s="104"/>
      <c r="Y33" s="103"/>
      <c r="Z33" s="107"/>
      <c r="AA33" s="108"/>
      <c r="AB33" s="109"/>
      <c r="AC33" s="110" t="s">
        <v>126</v>
      </c>
      <c r="AD33" s="111"/>
    </row>
    <row r="34" ht="12.6" customHeight="1" spans="1:30">
      <c r="A34" s="92"/>
      <c r="B34" s="93" t="s">
        <v>72</v>
      </c>
      <c r="C34" s="92"/>
      <c r="D34" s="94" t="s">
        <v>127</v>
      </c>
      <c r="E34" s="95" t="s">
        <v>128</v>
      </c>
      <c r="F34" s="96" t="s">
        <v>72</v>
      </c>
      <c r="G34" s="119"/>
      <c r="H34" s="120">
        <v>6333.35</v>
      </c>
      <c r="I34" s="120"/>
      <c r="J34" s="121">
        <v>6333.35</v>
      </c>
      <c r="K34" s="79"/>
      <c r="L34" s="122"/>
      <c r="M34" s="123"/>
      <c r="N34" s="92"/>
      <c r="O34" s="124"/>
      <c r="P34" s="92"/>
      <c r="Q34" s="103"/>
      <c r="R34" s="125"/>
      <c r="S34" s="125"/>
      <c r="T34" s="103"/>
      <c r="U34" s="93"/>
      <c r="V34" s="113">
        <v>13062</v>
      </c>
      <c r="W34" s="104" t="s">
        <v>129</v>
      </c>
      <c r="X34" s="101"/>
      <c r="Y34" s="92"/>
      <c r="Z34" s="126"/>
      <c r="AA34" s="127"/>
      <c r="AB34" s="109"/>
      <c r="AC34" s="110" t="s">
        <v>130</v>
      </c>
      <c r="AD34" s="111"/>
    </row>
    <row r="35" ht="12.6" customHeight="1" spans="1:30">
      <c r="A35" s="92"/>
      <c r="B35" s="93" t="s">
        <v>63</v>
      </c>
      <c r="C35" s="92"/>
      <c r="D35" s="94" t="s">
        <v>131</v>
      </c>
      <c r="E35" s="95" t="s">
        <v>132</v>
      </c>
      <c r="F35" s="96"/>
      <c r="G35" s="119"/>
      <c r="H35" s="120">
        <v>120000</v>
      </c>
      <c r="I35" s="120">
        <v>68347.21</v>
      </c>
      <c r="J35" s="121">
        <v>51652.79</v>
      </c>
      <c r="K35" s="79"/>
      <c r="L35" s="122"/>
      <c r="M35" s="123"/>
      <c r="N35" s="92"/>
      <c r="O35" s="124"/>
      <c r="P35" s="92"/>
      <c r="Q35" s="103" t="s">
        <v>66</v>
      </c>
      <c r="R35" s="103">
        <v>5407332</v>
      </c>
      <c r="S35" s="125">
        <v>60</v>
      </c>
      <c r="T35" s="128">
        <v>2319.95</v>
      </c>
      <c r="U35" s="93" t="s">
        <v>67</v>
      </c>
      <c r="V35" s="113">
        <v>13063</v>
      </c>
      <c r="W35" s="103" t="s">
        <v>133</v>
      </c>
      <c r="X35" s="103" t="s">
        <v>134</v>
      </c>
      <c r="Y35" s="103">
        <v>5398744</v>
      </c>
      <c r="Z35" s="126" t="s">
        <v>63</v>
      </c>
      <c r="AA35" s="127">
        <v>2908099</v>
      </c>
      <c r="AB35" s="109" t="s">
        <v>70</v>
      </c>
      <c r="AC35" s="110" t="s">
        <v>135</v>
      </c>
      <c r="AD35" s="111"/>
    </row>
    <row r="36" ht="12.6" customHeight="1" spans="1:30">
      <c r="A36" s="92"/>
      <c r="B36" s="93" t="s">
        <v>37</v>
      </c>
      <c r="C36" s="92"/>
      <c r="D36" s="94" t="s">
        <v>136</v>
      </c>
      <c r="E36" s="95" t="s">
        <v>137</v>
      </c>
      <c r="F36" s="96"/>
      <c r="G36" s="119"/>
      <c r="H36" s="120">
        <v>100000</v>
      </c>
      <c r="I36" s="120"/>
      <c r="J36" s="121">
        <v>100000</v>
      </c>
      <c r="K36" s="79"/>
      <c r="L36" s="122"/>
      <c r="M36" s="123"/>
      <c r="N36" s="92"/>
      <c r="O36" s="124"/>
      <c r="P36" s="92"/>
      <c r="Q36" s="103">
        <v>601</v>
      </c>
      <c r="R36" s="103">
        <v>4162872</v>
      </c>
      <c r="S36" s="103">
        <v>36</v>
      </c>
      <c r="T36" s="129">
        <v>3042.2</v>
      </c>
      <c r="U36" s="93" t="s">
        <v>138</v>
      </c>
      <c r="V36" s="113">
        <v>13064</v>
      </c>
      <c r="W36" s="103" t="s">
        <v>139</v>
      </c>
      <c r="X36" s="103" t="s">
        <v>140</v>
      </c>
      <c r="Y36" s="103">
        <v>5376629</v>
      </c>
      <c r="Z36" s="126" t="s">
        <v>37</v>
      </c>
      <c r="AA36" s="127"/>
      <c r="AB36" s="109"/>
      <c r="AC36" s="110" t="s">
        <v>141</v>
      </c>
      <c r="AD36" s="111"/>
    </row>
    <row r="37" ht="12.6" customHeight="1" spans="1:30">
      <c r="A37" s="92"/>
      <c r="B37" s="93" t="s">
        <v>37</v>
      </c>
      <c r="C37" s="92"/>
      <c r="D37" s="94" t="s">
        <v>142</v>
      </c>
      <c r="E37" s="130" t="s">
        <v>143</v>
      </c>
      <c r="F37" s="96"/>
      <c r="G37" s="119"/>
      <c r="H37" s="120">
        <v>100000</v>
      </c>
      <c r="I37" s="120"/>
      <c r="J37" s="120">
        <v>100000</v>
      </c>
      <c r="K37" s="79"/>
      <c r="L37" s="122"/>
      <c r="M37" s="123"/>
      <c r="N37" s="92"/>
      <c r="O37" s="124"/>
      <c r="P37" s="92"/>
      <c r="Q37" s="103">
        <v>601</v>
      </c>
      <c r="R37" s="103">
        <v>5416954</v>
      </c>
      <c r="S37" s="103">
        <v>60</v>
      </c>
      <c r="T37" s="104">
        <v>1933.29</v>
      </c>
      <c r="U37" s="93" t="s">
        <v>110</v>
      </c>
      <c r="V37" s="113">
        <v>13065</v>
      </c>
      <c r="W37" s="103" t="s">
        <v>139</v>
      </c>
      <c r="X37" s="103" t="s">
        <v>106</v>
      </c>
      <c r="Y37" s="103">
        <v>5407436</v>
      </c>
      <c r="Z37" s="126" t="s">
        <v>37</v>
      </c>
      <c r="AA37" s="127"/>
      <c r="AB37" s="109"/>
      <c r="AC37" s="110" t="s">
        <v>144</v>
      </c>
      <c r="AD37" s="111"/>
    </row>
    <row r="38" ht="12.6" customHeight="1" spans="1:30">
      <c r="A38" s="92"/>
      <c r="B38" s="93" t="s">
        <v>72</v>
      </c>
      <c r="C38" s="92"/>
      <c r="D38" s="94" t="s">
        <v>145</v>
      </c>
      <c r="E38" s="95"/>
      <c r="F38" s="96" t="s">
        <v>72</v>
      </c>
      <c r="G38" s="119"/>
      <c r="H38" s="120"/>
      <c r="I38" s="120"/>
      <c r="J38" s="121"/>
      <c r="K38" s="79"/>
      <c r="L38" s="122"/>
      <c r="M38" s="123"/>
      <c r="N38" s="92"/>
      <c r="O38" s="124"/>
      <c r="P38" s="92"/>
      <c r="Q38" s="103"/>
      <c r="R38" s="103"/>
      <c r="S38" s="103"/>
      <c r="T38" s="129"/>
      <c r="U38" s="93"/>
      <c r="V38" s="113">
        <v>13066</v>
      </c>
      <c r="W38" s="103"/>
      <c r="X38" s="103"/>
      <c r="Y38" s="103"/>
      <c r="Z38" s="126"/>
      <c r="AA38" s="127"/>
      <c r="AB38" s="109"/>
      <c r="AC38" s="110"/>
      <c r="AD38" s="111"/>
    </row>
    <row r="39" ht="12.6" customHeight="1" spans="1:30">
      <c r="A39" s="92"/>
      <c r="B39" s="93" t="s">
        <v>146</v>
      </c>
      <c r="C39" s="92"/>
      <c r="D39" s="94" t="s">
        <v>147</v>
      </c>
      <c r="E39" s="95" t="s">
        <v>148</v>
      </c>
      <c r="F39" s="96"/>
      <c r="G39" s="119"/>
      <c r="H39" s="120">
        <v>200000</v>
      </c>
      <c r="I39" s="120"/>
      <c r="J39" s="121">
        <v>200000</v>
      </c>
      <c r="K39" s="79"/>
      <c r="L39" s="122"/>
      <c r="M39" s="123"/>
      <c r="N39" s="92"/>
      <c r="O39" s="124"/>
      <c r="P39" s="92"/>
      <c r="Q39" s="103">
        <v>534</v>
      </c>
      <c r="R39" s="103">
        <v>5390366</v>
      </c>
      <c r="S39" s="103">
        <v>60</v>
      </c>
      <c r="T39" s="129">
        <v>3866.58</v>
      </c>
      <c r="U39" s="93" t="s">
        <v>149</v>
      </c>
      <c r="V39" s="113">
        <v>13067</v>
      </c>
      <c r="W39" s="103" t="s">
        <v>99</v>
      </c>
      <c r="X39" s="103" t="s">
        <v>150</v>
      </c>
      <c r="Y39" s="103">
        <v>4277857</v>
      </c>
      <c r="Z39" s="126" t="s">
        <v>146</v>
      </c>
      <c r="AA39" s="127"/>
      <c r="AB39" s="109"/>
      <c r="AC39" s="110" t="s">
        <v>151</v>
      </c>
      <c r="AD39" s="111"/>
    </row>
    <row r="40" ht="12.6" customHeight="1" spans="1:30">
      <c r="A40" s="92"/>
      <c r="B40" s="93" t="s">
        <v>37</v>
      </c>
      <c r="C40" s="92"/>
      <c r="D40" s="94" t="s">
        <v>152</v>
      </c>
      <c r="E40" s="95" t="s">
        <v>153</v>
      </c>
      <c r="F40" s="96"/>
      <c r="G40" s="119"/>
      <c r="H40" s="120">
        <v>100000</v>
      </c>
      <c r="I40" s="120"/>
      <c r="J40" s="121">
        <v>100000</v>
      </c>
      <c r="K40" s="79"/>
      <c r="L40" s="122"/>
      <c r="M40" s="123"/>
      <c r="N40" s="92"/>
      <c r="O40" s="124"/>
      <c r="P40" s="92"/>
      <c r="Q40" s="103" t="s">
        <v>66</v>
      </c>
      <c r="R40" s="103">
        <v>4337791</v>
      </c>
      <c r="S40" s="103">
        <v>36</v>
      </c>
      <c r="T40" s="129">
        <v>3042.2</v>
      </c>
      <c r="U40" s="93" t="s">
        <v>154</v>
      </c>
      <c r="V40" s="113">
        <v>13068</v>
      </c>
      <c r="W40" s="103" t="s">
        <v>68</v>
      </c>
      <c r="X40" s="103" t="s">
        <v>155</v>
      </c>
      <c r="Y40" s="103">
        <v>4151323</v>
      </c>
      <c r="Z40" s="126" t="s">
        <v>37</v>
      </c>
      <c r="AA40" s="127"/>
      <c r="AB40" s="109"/>
      <c r="AC40" s="110" t="s">
        <v>156</v>
      </c>
      <c r="AD40" s="111"/>
    </row>
    <row r="41" ht="12.6" customHeight="1" spans="1:30">
      <c r="A41" s="92"/>
      <c r="B41" s="93" t="s">
        <v>37</v>
      </c>
      <c r="C41" s="92"/>
      <c r="D41" s="94" t="s">
        <v>157</v>
      </c>
      <c r="E41" s="95" t="s">
        <v>158</v>
      </c>
      <c r="F41" s="96"/>
      <c r="G41" s="119"/>
      <c r="H41" s="120">
        <v>100000</v>
      </c>
      <c r="I41" s="120"/>
      <c r="J41" s="120">
        <v>100000</v>
      </c>
      <c r="K41" s="79"/>
      <c r="L41" s="122"/>
      <c r="M41" s="123"/>
      <c r="N41" s="92"/>
      <c r="O41" s="124"/>
      <c r="P41" s="92"/>
      <c r="Q41" s="103" t="s">
        <v>53</v>
      </c>
      <c r="R41" s="103">
        <v>4262824</v>
      </c>
      <c r="S41" s="103">
        <v>36</v>
      </c>
      <c r="T41" s="129">
        <v>3042.2</v>
      </c>
      <c r="U41" s="93" t="s">
        <v>41</v>
      </c>
      <c r="V41" s="113">
        <v>13069</v>
      </c>
      <c r="W41" s="103" t="s">
        <v>159</v>
      </c>
      <c r="X41" s="103" t="s">
        <v>160</v>
      </c>
      <c r="Y41" s="103">
        <v>4674051</v>
      </c>
      <c r="Z41" s="126" t="s">
        <v>37</v>
      </c>
      <c r="AA41" s="127"/>
      <c r="AB41" s="109"/>
      <c r="AC41" s="110" t="s">
        <v>161</v>
      </c>
      <c r="AD41" s="111"/>
    </row>
    <row r="42" ht="12.6" customHeight="1" spans="1:30">
      <c r="A42" s="92"/>
      <c r="B42" s="93"/>
      <c r="C42" s="92"/>
      <c r="D42" s="94" t="s">
        <v>162</v>
      </c>
      <c r="E42" s="95" t="s">
        <v>121</v>
      </c>
      <c r="F42" s="96" t="s">
        <v>122</v>
      </c>
      <c r="G42" s="119"/>
      <c r="H42" s="120">
        <v>7142.86</v>
      </c>
      <c r="I42" s="120"/>
      <c r="J42" s="121">
        <v>7142.86</v>
      </c>
      <c r="K42" s="79"/>
      <c r="L42" s="122"/>
      <c r="M42" s="123"/>
      <c r="N42" s="92"/>
      <c r="O42" s="124"/>
      <c r="P42" s="92"/>
      <c r="Q42" s="103"/>
      <c r="R42" s="103"/>
      <c r="S42" s="103"/>
      <c r="T42" s="129"/>
      <c r="U42" s="93"/>
      <c r="V42" s="113">
        <v>13071</v>
      </c>
      <c r="W42" s="103" t="s">
        <v>68</v>
      </c>
      <c r="X42" s="103"/>
      <c r="Y42" s="103"/>
      <c r="Z42" s="126"/>
      <c r="AA42" s="127"/>
      <c r="AB42" s="109"/>
      <c r="AC42" s="110" t="s">
        <v>123</v>
      </c>
      <c r="AD42" s="111"/>
    </row>
    <row r="43" ht="12.6" customHeight="1" spans="1:30">
      <c r="A43" s="92"/>
      <c r="B43" s="93"/>
      <c r="C43" s="92"/>
      <c r="D43" s="94" t="s">
        <v>163</v>
      </c>
      <c r="E43" s="118" t="s">
        <v>125</v>
      </c>
      <c r="F43" s="96" t="s">
        <v>122</v>
      </c>
      <c r="G43" s="119"/>
      <c r="H43" s="120">
        <v>7142.86</v>
      </c>
      <c r="I43" s="120"/>
      <c r="J43" s="121">
        <v>7142.86</v>
      </c>
      <c r="K43" s="79"/>
      <c r="L43" s="122"/>
      <c r="M43" s="123"/>
      <c r="N43" s="92"/>
      <c r="O43" s="124"/>
      <c r="P43" s="92"/>
      <c r="Q43" s="103"/>
      <c r="R43" s="103"/>
      <c r="S43" s="103"/>
      <c r="T43" s="129"/>
      <c r="U43" s="93"/>
      <c r="V43" s="113">
        <v>13072</v>
      </c>
      <c r="W43" s="103" t="s">
        <v>68</v>
      </c>
      <c r="X43" s="103"/>
      <c r="Y43" s="103"/>
      <c r="Z43" s="126"/>
      <c r="AA43" s="127"/>
      <c r="AB43" s="109"/>
      <c r="AC43" s="110"/>
      <c r="AD43" s="111"/>
    </row>
    <row r="44" ht="12.6" customHeight="1" spans="1:30">
      <c r="A44" s="92"/>
      <c r="B44" s="93"/>
      <c r="C44" s="92"/>
      <c r="D44" s="94" t="s">
        <v>164</v>
      </c>
      <c r="E44" s="95" t="s">
        <v>165</v>
      </c>
      <c r="F44" s="96" t="s">
        <v>72</v>
      </c>
      <c r="G44" s="119"/>
      <c r="H44" s="120">
        <v>1933.29</v>
      </c>
      <c r="I44" s="120"/>
      <c r="J44" s="120">
        <v>1933.29</v>
      </c>
      <c r="K44" s="79"/>
      <c r="L44" s="122"/>
      <c r="M44" s="123"/>
      <c r="N44" s="92"/>
      <c r="O44" s="124"/>
      <c r="P44" s="92"/>
      <c r="Q44" s="103"/>
      <c r="R44" s="103"/>
      <c r="S44" s="103"/>
      <c r="T44" s="129"/>
      <c r="U44" s="93"/>
      <c r="V44" s="113">
        <v>13070</v>
      </c>
      <c r="W44" s="103" t="s">
        <v>166</v>
      </c>
      <c r="X44" s="103"/>
      <c r="Y44" s="103"/>
      <c r="Z44" s="126"/>
      <c r="AA44" s="127"/>
      <c r="AB44" s="109"/>
      <c r="AC44" s="110" t="s">
        <v>167</v>
      </c>
      <c r="AD44" s="111"/>
    </row>
    <row r="45" ht="12.6" customHeight="1" spans="1:30">
      <c r="A45" s="92"/>
      <c r="B45" s="93"/>
      <c r="C45" s="92"/>
      <c r="D45" s="94" t="s">
        <v>168</v>
      </c>
      <c r="E45" s="95" t="s">
        <v>169</v>
      </c>
      <c r="F45" s="96"/>
      <c r="G45" s="119"/>
      <c r="H45" s="120">
        <v>100000</v>
      </c>
      <c r="I45" s="120">
        <v>52988.76</v>
      </c>
      <c r="J45" s="121">
        <v>47011.24</v>
      </c>
      <c r="K45" s="79"/>
      <c r="L45" s="122"/>
      <c r="M45" s="123"/>
      <c r="N45" s="92"/>
      <c r="O45" s="124"/>
      <c r="P45" s="92"/>
      <c r="Q45" s="103">
        <v>536</v>
      </c>
      <c r="R45" s="103">
        <v>4162627</v>
      </c>
      <c r="S45" s="103">
        <v>48</v>
      </c>
      <c r="T45" s="129">
        <v>2348.51</v>
      </c>
      <c r="U45" s="93" t="s">
        <v>170</v>
      </c>
      <c r="V45" s="113">
        <v>13073</v>
      </c>
      <c r="W45" s="103" t="s">
        <v>171</v>
      </c>
      <c r="X45" s="103" t="s">
        <v>172</v>
      </c>
      <c r="Y45" s="103">
        <v>4594536</v>
      </c>
      <c r="Z45" s="126" t="s">
        <v>173</v>
      </c>
      <c r="AA45" s="127">
        <v>2908080</v>
      </c>
      <c r="AB45" s="109" t="s">
        <v>70</v>
      </c>
      <c r="AC45" s="110" t="s">
        <v>174</v>
      </c>
      <c r="AD45" s="111"/>
    </row>
    <row r="46" ht="12.6" customHeight="1" spans="1:30">
      <c r="A46" s="92"/>
      <c r="B46" s="93" t="s">
        <v>146</v>
      </c>
      <c r="C46" s="92"/>
      <c r="D46" s="94" t="s">
        <v>175</v>
      </c>
      <c r="E46" s="95" t="s">
        <v>176</v>
      </c>
      <c r="F46" s="96"/>
      <c r="G46" s="119"/>
      <c r="H46" s="120">
        <v>90000</v>
      </c>
      <c r="I46" s="120"/>
      <c r="J46" s="121">
        <v>90000</v>
      </c>
      <c r="K46" s="79"/>
      <c r="L46" s="122"/>
      <c r="M46" s="123"/>
      <c r="N46" s="92"/>
      <c r="O46" s="124"/>
      <c r="P46" s="92"/>
      <c r="Q46" s="103" t="s">
        <v>104</v>
      </c>
      <c r="R46" s="103">
        <v>5375191</v>
      </c>
      <c r="S46" s="103">
        <v>60</v>
      </c>
      <c r="T46" s="129">
        <v>1739.96</v>
      </c>
      <c r="U46" s="93" t="s">
        <v>54</v>
      </c>
      <c r="V46" s="113">
        <v>13074</v>
      </c>
      <c r="W46" s="103" t="s">
        <v>177</v>
      </c>
      <c r="X46" s="103" t="s">
        <v>178</v>
      </c>
      <c r="Y46" s="103">
        <v>4160293</v>
      </c>
      <c r="Z46" s="126" t="s">
        <v>146</v>
      </c>
      <c r="AA46" s="127"/>
      <c r="AB46" s="109"/>
      <c r="AC46" s="110" t="s">
        <v>179</v>
      </c>
      <c r="AD46" s="111"/>
    </row>
    <row r="47" ht="12.6" customHeight="1" spans="1:30">
      <c r="A47" s="92"/>
      <c r="B47" s="93" t="s">
        <v>146</v>
      </c>
      <c r="C47" s="92"/>
      <c r="D47" s="94" t="s">
        <v>180</v>
      </c>
      <c r="E47" s="95" t="s">
        <v>181</v>
      </c>
      <c r="F47" s="96"/>
      <c r="G47" s="119"/>
      <c r="H47" s="120">
        <v>50000</v>
      </c>
      <c r="I47" s="120"/>
      <c r="J47" s="121">
        <v>50000</v>
      </c>
      <c r="K47" s="79"/>
      <c r="L47" s="122"/>
      <c r="M47" s="123"/>
      <c r="N47" s="92"/>
      <c r="O47" s="124"/>
      <c r="P47" s="92"/>
      <c r="Q47" s="103" t="s">
        <v>47</v>
      </c>
      <c r="R47" s="103">
        <v>5407441</v>
      </c>
      <c r="S47" s="103">
        <v>60</v>
      </c>
      <c r="T47" s="103">
        <v>966.65</v>
      </c>
      <c r="U47" s="93" t="s">
        <v>110</v>
      </c>
      <c r="V47" s="113">
        <v>13075</v>
      </c>
      <c r="W47" s="103" t="s">
        <v>182</v>
      </c>
      <c r="X47" s="103" t="s">
        <v>183</v>
      </c>
      <c r="Y47" s="103">
        <v>5410670</v>
      </c>
      <c r="Z47" s="126" t="s">
        <v>146</v>
      </c>
      <c r="AA47" s="127"/>
      <c r="AB47" s="109"/>
      <c r="AC47" s="110" t="s">
        <v>184</v>
      </c>
      <c r="AD47" s="111"/>
    </row>
    <row r="48" ht="12.6" customHeight="1" spans="1:30">
      <c r="A48" s="92"/>
      <c r="B48" s="93" t="s">
        <v>146</v>
      </c>
      <c r="C48" s="92"/>
      <c r="D48" s="94" t="s">
        <v>185</v>
      </c>
      <c r="E48" s="95" t="s">
        <v>186</v>
      </c>
      <c r="F48" s="96"/>
      <c r="G48" s="119"/>
      <c r="H48" s="120">
        <v>30000</v>
      </c>
      <c r="I48" s="120"/>
      <c r="J48" s="121">
        <v>30000</v>
      </c>
      <c r="K48" s="79"/>
      <c r="L48" s="122"/>
      <c r="M48" s="123"/>
      <c r="N48" s="92"/>
      <c r="O48" s="124"/>
      <c r="P48" s="92"/>
      <c r="Q48" s="103" t="s">
        <v>47</v>
      </c>
      <c r="R48" s="103">
        <v>5407330</v>
      </c>
      <c r="S48" s="103">
        <v>60</v>
      </c>
      <c r="T48" s="103">
        <v>579.99</v>
      </c>
      <c r="U48" s="93" t="s">
        <v>187</v>
      </c>
      <c r="V48" s="113">
        <v>13076</v>
      </c>
      <c r="W48" s="103" t="s">
        <v>188</v>
      </c>
      <c r="X48" s="103" t="s">
        <v>183</v>
      </c>
      <c r="Y48" s="103">
        <v>5410670</v>
      </c>
      <c r="Z48" s="126" t="s">
        <v>146</v>
      </c>
      <c r="AA48" s="127"/>
      <c r="AB48" s="109"/>
      <c r="AC48" s="110" t="s">
        <v>189</v>
      </c>
      <c r="AD48" s="111"/>
    </row>
    <row r="49" ht="12.6" customHeight="1" spans="1:30">
      <c r="A49" s="92"/>
      <c r="B49" s="93" t="s">
        <v>37</v>
      </c>
      <c r="C49" s="92"/>
      <c r="D49" s="94" t="s">
        <v>190</v>
      </c>
      <c r="E49" s="95" t="s">
        <v>191</v>
      </c>
      <c r="F49" s="96"/>
      <c r="G49" s="119"/>
      <c r="H49" s="120">
        <v>100000</v>
      </c>
      <c r="I49" s="120"/>
      <c r="J49" s="121">
        <v>100000</v>
      </c>
      <c r="K49" s="79"/>
      <c r="L49" s="122"/>
      <c r="M49" s="123"/>
      <c r="N49" s="92"/>
      <c r="O49" s="124"/>
      <c r="P49" s="92"/>
      <c r="Q49" s="103" t="s">
        <v>84</v>
      </c>
      <c r="R49" s="103">
        <v>4278059</v>
      </c>
      <c r="S49" s="103">
        <v>60</v>
      </c>
      <c r="T49" s="103">
        <v>1933.29</v>
      </c>
      <c r="U49" s="93" t="s">
        <v>54</v>
      </c>
      <c r="V49" s="113">
        <v>13077</v>
      </c>
      <c r="W49" s="103" t="s">
        <v>192</v>
      </c>
      <c r="X49" s="103" t="s">
        <v>193</v>
      </c>
      <c r="Y49" s="103">
        <v>4261607</v>
      </c>
      <c r="Z49" s="126" t="s">
        <v>37</v>
      </c>
      <c r="AA49" s="127"/>
      <c r="AB49" s="109"/>
      <c r="AC49" s="110" t="s">
        <v>194</v>
      </c>
      <c r="AD49" s="111"/>
    </row>
    <row r="50" ht="12.6" customHeight="1" spans="1:30">
      <c r="A50" s="92"/>
      <c r="B50" s="93" t="s">
        <v>37</v>
      </c>
      <c r="C50" s="92"/>
      <c r="D50" s="94" t="s">
        <v>195</v>
      </c>
      <c r="E50" s="118" t="s">
        <v>155</v>
      </c>
      <c r="F50" s="96"/>
      <c r="G50" s="119"/>
      <c r="H50" s="120">
        <v>100000</v>
      </c>
      <c r="I50" s="119"/>
      <c r="J50" s="120">
        <v>100000</v>
      </c>
      <c r="K50" s="79"/>
      <c r="L50" s="122"/>
      <c r="M50" s="123"/>
      <c r="N50" s="92"/>
      <c r="O50" s="124"/>
      <c r="P50" s="92"/>
      <c r="Q50" s="103">
        <v>500</v>
      </c>
      <c r="R50" s="103">
        <v>4151323</v>
      </c>
      <c r="S50" s="103">
        <v>24</v>
      </c>
      <c r="T50" s="103">
        <v>4432.07</v>
      </c>
      <c r="U50" s="93" t="s">
        <v>196</v>
      </c>
      <c r="V50" s="113">
        <v>13078</v>
      </c>
      <c r="W50" s="103" t="s">
        <v>197</v>
      </c>
      <c r="X50" s="103" t="s">
        <v>198</v>
      </c>
      <c r="Y50" s="103">
        <v>4149546</v>
      </c>
      <c r="Z50" s="126" t="s">
        <v>37</v>
      </c>
      <c r="AA50" s="127"/>
      <c r="AB50" s="109"/>
      <c r="AC50" s="110" t="s">
        <v>199</v>
      </c>
      <c r="AD50" s="111"/>
    </row>
    <row r="51" ht="12.6" customHeight="1" spans="1:30">
      <c r="A51" s="92"/>
      <c r="B51" s="93" t="s">
        <v>72</v>
      </c>
      <c r="C51" s="92"/>
      <c r="D51" s="94" t="s">
        <v>200</v>
      </c>
      <c r="E51" s="95" t="s">
        <v>72</v>
      </c>
      <c r="F51" s="96" t="s">
        <v>72</v>
      </c>
      <c r="G51" s="119"/>
      <c r="H51" s="120"/>
      <c r="I51" s="120"/>
      <c r="J51" s="121"/>
      <c r="K51" s="79"/>
      <c r="L51" s="122"/>
      <c r="M51" s="123"/>
      <c r="N51" s="92"/>
      <c r="O51" s="124"/>
      <c r="P51" s="92"/>
      <c r="Q51" s="103"/>
      <c r="R51" s="103"/>
      <c r="S51" s="103"/>
      <c r="T51" s="103"/>
      <c r="U51" s="93"/>
      <c r="V51" s="113">
        <v>13079</v>
      </c>
      <c r="W51" s="103"/>
      <c r="X51" s="103"/>
      <c r="Y51" s="103"/>
      <c r="Z51" s="126"/>
      <c r="AA51" s="127"/>
      <c r="AB51" s="109"/>
      <c r="AC51" s="110"/>
      <c r="AD51" s="111"/>
    </row>
    <row r="52" ht="12.6" customHeight="1" spans="1:30">
      <c r="A52" s="92"/>
      <c r="B52" s="93" t="s">
        <v>72</v>
      </c>
      <c r="C52" s="92"/>
      <c r="D52" s="94" t="s">
        <v>201</v>
      </c>
      <c r="E52" s="118" t="s">
        <v>202</v>
      </c>
      <c r="F52" s="96" t="s">
        <v>72</v>
      </c>
      <c r="G52" s="119"/>
      <c r="H52" s="120">
        <v>966.65</v>
      </c>
      <c r="I52" s="120"/>
      <c r="J52" s="120">
        <v>966.65</v>
      </c>
      <c r="K52" s="79"/>
      <c r="L52" s="122"/>
      <c r="M52" s="123"/>
      <c r="N52" s="92"/>
      <c r="O52" s="124"/>
      <c r="P52" s="92"/>
      <c r="Q52" s="103"/>
      <c r="R52" s="103"/>
      <c r="S52" s="103"/>
      <c r="T52" s="129"/>
      <c r="U52" s="93"/>
      <c r="V52" s="113">
        <v>13080</v>
      </c>
      <c r="W52" s="103" t="s">
        <v>166</v>
      </c>
      <c r="X52" s="103"/>
      <c r="Y52" s="103"/>
      <c r="Z52" s="126"/>
      <c r="AA52" s="127"/>
      <c r="AB52" s="109"/>
      <c r="AC52" s="110" t="s">
        <v>203</v>
      </c>
      <c r="AD52" s="111"/>
    </row>
    <row r="53" ht="12.6" customHeight="1" spans="1:30">
      <c r="A53" s="92"/>
      <c r="B53" s="93" t="s">
        <v>37</v>
      </c>
      <c r="C53" s="92"/>
      <c r="D53" s="94" t="s">
        <v>204</v>
      </c>
      <c r="E53" s="95" t="s">
        <v>205</v>
      </c>
      <c r="F53" s="96"/>
      <c r="G53" s="119"/>
      <c r="H53" s="120">
        <v>100000</v>
      </c>
      <c r="I53" s="120"/>
      <c r="J53" s="120">
        <v>100000</v>
      </c>
      <c r="K53" s="79"/>
      <c r="L53" s="122"/>
      <c r="M53" s="123"/>
      <c r="N53" s="92"/>
      <c r="O53" s="124"/>
      <c r="P53" s="92"/>
      <c r="Q53" s="103" t="s">
        <v>206</v>
      </c>
      <c r="R53" s="103">
        <v>5422402</v>
      </c>
      <c r="S53" s="103">
        <v>60</v>
      </c>
      <c r="T53" s="129">
        <v>1933.29</v>
      </c>
      <c r="U53" s="93" t="s">
        <v>207</v>
      </c>
      <c r="V53" s="113">
        <v>13081</v>
      </c>
      <c r="W53" s="103" t="s">
        <v>208</v>
      </c>
      <c r="X53" s="103" t="s">
        <v>209</v>
      </c>
      <c r="Y53" s="103">
        <v>4336279</v>
      </c>
      <c r="Z53" s="126" t="s">
        <v>37</v>
      </c>
      <c r="AA53" s="127"/>
      <c r="AB53" s="109"/>
      <c r="AC53" s="110" t="s">
        <v>210</v>
      </c>
      <c r="AD53" s="111"/>
    </row>
  </sheetData>
  <pageMargins left="0.7" right="0.7" top="0.75" bottom="0.75" header="0.3" footer="0.3"/>
  <pageSetup paperSize="9" orientation="portrait" useFirstPageNumber="1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MAY 2026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ADMINISTRATIVE SERVICES</dc:creator>
  <cp:lastModifiedBy>alfle</cp:lastModifiedBy>
  <dcterms:created xsi:type="dcterms:W3CDTF">2026-05-28T01:55:00Z</dcterms:created>
  <dcterms:modified xsi:type="dcterms:W3CDTF">2026-05-28T02:06:05Z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D2D7C007FA36449FB17006DAB423D397_13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