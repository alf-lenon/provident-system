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JUNE 2026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G5" authorId="0">
      <text>
        <r>
          <rPr>
            <b/>
            <sz val="9"/>
            <rFont val="Tahoma"/>
            <charset val="134"/>
          </rPr>
          <t>PC:</t>
        </r>
        <r>
          <rPr>
            <sz val="9"/>
            <rFont val="Tahoma"/>
            <charset val="134"/>
          </rPr>
          <t xml:space="preserve">
report of collection and deposits
</t>
        </r>
      </text>
    </comment>
  </commentList>
</comments>
</file>

<file path=xl/sharedStrings.xml><?xml version="1.0" encoding="utf-8"?>
<sst xmlns="http://schemas.openxmlformats.org/spreadsheetml/2006/main" count="378" uniqueCount="231">
  <si>
    <t>SUBSIDIARY LEDGER</t>
  </si>
  <si>
    <t>Account #</t>
  </si>
  <si>
    <t>Provident Fund Loan</t>
  </si>
  <si>
    <t xml:space="preserve">STATION </t>
  </si>
  <si>
    <t xml:space="preserve">EMPLOYEE </t>
  </si>
  <si>
    <t xml:space="preserve">MONTHLY </t>
  </si>
  <si>
    <t>DESIGNATION</t>
  </si>
  <si>
    <t>APP'L.</t>
  </si>
  <si>
    <t>STATUS</t>
  </si>
  <si>
    <t>TYPE OF LOAN</t>
  </si>
  <si>
    <t>REF</t>
  </si>
  <si>
    <t>PARTICULARS</t>
  </si>
  <si>
    <t>ROC</t>
  </si>
  <si>
    <t>Gross amount</t>
  </si>
  <si>
    <t>outstanding balance</t>
  </si>
  <si>
    <t>total grand of loan</t>
  </si>
  <si>
    <t xml:space="preserve">BALANCE </t>
  </si>
  <si>
    <t xml:space="preserve">CODE </t>
  </si>
  <si>
    <t>NO.</t>
  </si>
  <si>
    <t>SCHEDULE OF PAYMENT</t>
  </si>
  <si>
    <t>AMORT.</t>
  </si>
  <si>
    <t>SCHOOL/DISTRICT</t>
  </si>
  <si>
    <t>Co-maker</t>
  </si>
  <si>
    <t>EMPLOYEE NO.</t>
  </si>
  <si>
    <t>REMARKS/STATUS</t>
  </si>
  <si>
    <t>SOA - CHECK NO.</t>
  </si>
  <si>
    <t>LAST MONTH SOA</t>
  </si>
  <si>
    <t>ACCOUNT#</t>
  </si>
  <si>
    <t>FOR ACCOUNTING ONLY</t>
  </si>
  <si>
    <t>Fund</t>
  </si>
  <si>
    <t>bal forwarded</t>
  </si>
  <si>
    <t>Reg payroll Sec-ATM</t>
  </si>
  <si>
    <t>Reg payroll Elem-ATM</t>
  </si>
  <si>
    <t>Additional funds</t>
  </si>
  <si>
    <t>Fiscal School</t>
  </si>
  <si>
    <t xml:space="preserve">Over the counter Payment </t>
  </si>
  <si>
    <t xml:space="preserve">   </t>
  </si>
  <si>
    <t>NEW</t>
  </si>
  <si>
    <t>2026-06-4255</t>
  </si>
  <si>
    <t>CRUZ, MARGIE S.</t>
  </si>
  <si>
    <t>003</t>
  </si>
  <si>
    <t>ADAS-III</t>
  </si>
  <si>
    <t>ARAYAT CS/ ARAYAT WEST</t>
  </si>
  <si>
    <t>LEGUIAB, JOEL S.</t>
  </si>
  <si>
    <t>0085217518</t>
  </si>
  <si>
    <t>REFUND</t>
  </si>
  <si>
    <t>2026-06-4256</t>
  </si>
  <si>
    <t>RIVERA, ERLYN P.</t>
  </si>
  <si>
    <t>PASIG NHS/ CANDABA</t>
  </si>
  <si>
    <t>0085104721</t>
  </si>
  <si>
    <t>2026-06-4257</t>
  </si>
  <si>
    <t>PABUSTAN, REGIE S.</t>
  </si>
  <si>
    <t>SDO PAMPANGA</t>
  </si>
  <si>
    <t>0085202898</t>
  </si>
  <si>
    <t/>
  </si>
  <si>
    <t>2026-06-4258</t>
  </si>
  <si>
    <t>5422402</t>
  </si>
  <si>
    <t>60</t>
  </si>
  <si>
    <t>ADA-III</t>
  </si>
  <si>
    <t>13071</t>
  </si>
  <si>
    <t>4336279</t>
  </si>
  <si>
    <t>New</t>
  </si>
  <si>
    <t>ADDITIONAL</t>
  </si>
  <si>
    <t>2026-06-4259</t>
  </si>
  <si>
    <t>BACANI, HENRY B.</t>
  </si>
  <si>
    <t>095</t>
  </si>
  <si>
    <t>5410694</t>
  </si>
  <si>
    <t>ADA-I</t>
  </si>
  <si>
    <t>TEOPACO, ANALISA S.</t>
  </si>
  <si>
    <t>5422401</t>
  </si>
  <si>
    <t>Additional</t>
  </si>
  <si>
    <t>0085205021</t>
  </si>
  <si>
    <t>2026-06-4260</t>
  </si>
  <si>
    <t>MUSNI, ENGELYN S.</t>
  </si>
  <si>
    <t>018</t>
  </si>
  <si>
    <t>5407386</t>
  </si>
  <si>
    <t>AO-II</t>
  </si>
  <si>
    <t>13072</t>
  </si>
  <si>
    <t>STA. CATALINA ES/ SAN LUIS</t>
  </si>
  <si>
    <t>ROS, GLENDA B.</t>
  </si>
  <si>
    <t>4160293</t>
  </si>
  <si>
    <t>0085203185</t>
  </si>
  <si>
    <t>RENEWAL</t>
  </si>
  <si>
    <t>2026-06-4261</t>
  </si>
  <si>
    <t>36</t>
  </si>
  <si>
    <t>13073</t>
  </si>
  <si>
    <t>NICDAO, NOEMI G.</t>
  </si>
  <si>
    <t>4160620</t>
  </si>
  <si>
    <t>Renewal</t>
  </si>
  <si>
    <t>2908171</t>
  </si>
  <si>
    <t>JUNE</t>
  </si>
  <si>
    <t>0085207393</t>
  </si>
  <si>
    <t>2026-06-4262</t>
  </si>
  <si>
    <t>DE JESUS, VICTORIA CORAZON P.</t>
  </si>
  <si>
    <t>536</t>
  </si>
  <si>
    <t>4162627</t>
  </si>
  <si>
    <t>48</t>
  </si>
  <si>
    <t>13074</t>
  </si>
  <si>
    <t>SALAPUNGAN NHS/ CANDABA</t>
  </si>
  <si>
    <t>ANDAL, IRENE C.</t>
  </si>
  <si>
    <t>4594536</t>
  </si>
  <si>
    <t>2908080</t>
  </si>
  <si>
    <t>0105089473</t>
  </si>
  <si>
    <t>2026-06-4263</t>
  </si>
  <si>
    <t>REYES, MA. LUISA M.</t>
  </si>
  <si>
    <t>T-III</t>
  </si>
  <si>
    <t>SAN ISIDRO ES/ SAN LUIS</t>
  </si>
  <si>
    <t>0085181793</t>
  </si>
  <si>
    <t>2026-06-4264</t>
  </si>
  <si>
    <t>BALLESTEROS, IRAH S.</t>
  </si>
  <si>
    <t>039</t>
  </si>
  <si>
    <t>STA. LUTGARDA ES/ MACABEBE WEST</t>
  </si>
  <si>
    <t>CABRERA, GLAIZA G.</t>
  </si>
  <si>
    <t>3425048979</t>
  </si>
  <si>
    <t>2026-06-4265</t>
  </si>
  <si>
    <t>ISIP, ALMA M.</t>
  </si>
  <si>
    <t>STO. NINO ES/ MACABEBE WEST</t>
  </si>
  <si>
    <t>3425048464</t>
  </si>
  <si>
    <t>2026-06-4266</t>
  </si>
  <si>
    <t>LAURETA, ALMER A.</t>
  </si>
  <si>
    <t>013</t>
  </si>
  <si>
    <t>MASAMAT ES/ MEXICO SOUTH</t>
  </si>
  <si>
    <t>LAURETA, EVELYN L.</t>
  </si>
  <si>
    <t>0085142275</t>
  </si>
  <si>
    <t>2026-06-4267</t>
  </si>
  <si>
    <t>CANILAO, CATHERINE O.</t>
  </si>
  <si>
    <t>MT-II</t>
  </si>
  <si>
    <t>DALCUIS HS</t>
  </si>
  <si>
    <t>SORIANO, RODERICK G.</t>
  </si>
  <si>
    <t>0085072420</t>
  </si>
  <si>
    <t>2026-06-4268</t>
  </si>
  <si>
    <t>MUTUC, ANGELINA M.</t>
  </si>
  <si>
    <t>HENSON ES/ PORAC EAST</t>
  </si>
  <si>
    <t>0085095749</t>
  </si>
  <si>
    <t>2026-06-4269</t>
  </si>
  <si>
    <t>TAYAG, GLADYS R.</t>
  </si>
  <si>
    <t>028</t>
  </si>
  <si>
    <t>5410683</t>
  </si>
  <si>
    <t>13075</t>
  </si>
  <si>
    <t>DON MACARIO BACANI ES/ LUBAO NORTH</t>
  </si>
  <si>
    <t>CRUZ, MIRELLA A.</t>
  </si>
  <si>
    <t>4160142</t>
  </si>
  <si>
    <t>3865018850</t>
  </si>
  <si>
    <t>2026-06-4270</t>
  </si>
  <si>
    <t>ARCE, FILAMER G.</t>
  </si>
  <si>
    <t>505</t>
  </si>
  <si>
    <t>5422404</t>
  </si>
  <si>
    <t>13076</t>
  </si>
  <si>
    <t>STA. CRUZ ES/ LUBAO WEST</t>
  </si>
  <si>
    <t>BACANI, JOCELYN M.</t>
  </si>
  <si>
    <t>4151281</t>
  </si>
  <si>
    <t>3865021355</t>
  </si>
  <si>
    <t>2026-06-4271</t>
  </si>
  <si>
    <t>MANALASTAS, JENNETH P.</t>
  </si>
  <si>
    <t>531</t>
  </si>
  <si>
    <t>4264311</t>
  </si>
  <si>
    <t>ADAS-II</t>
  </si>
  <si>
    <t>13077</t>
  </si>
  <si>
    <t>DY, JOYCE P.</t>
  </si>
  <si>
    <t>4263339</t>
  </si>
  <si>
    <t>2908121</t>
  </si>
  <si>
    <t>3775017855</t>
  </si>
  <si>
    <t>2026-06-4272</t>
  </si>
  <si>
    <t>DAVID, JAYPEE D.</t>
  </si>
  <si>
    <t>027</t>
  </si>
  <si>
    <t>4160342</t>
  </si>
  <si>
    <t>13078</t>
  </si>
  <si>
    <t>MITLA ES/ PORAC WEST</t>
  </si>
  <si>
    <t>TAMAYO, KRISTINE M.</t>
  </si>
  <si>
    <t>4673906</t>
  </si>
  <si>
    <t>2908079</t>
  </si>
  <si>
    <t>1525056267</t>
  </si>
  <si>
    <t>2026-06-4273</t>
  </si>
  <si>
    <t>REYES, DWIGHT MICHAEL ANGELO A.</t>
  </si>
  <si>
    <t>5419321</t>
  </si>
  <si>
    <t>13079</t>
  </si>
  <si>
    <t>MALLARI, JONATHAN CHRISTIAN P.</t>
  </si>
  <si>
    <t>4160850</t>
  </si>
  <si>
    <t>0085205153</t>
  </si>
  <si>
    <t>2026-06-4274</t>
  </si>
  <si>
    <t>2026-06-4275</t>
  </si>
  <si>
    <t>SALARY</t>
  </si>
  <si>
    <t>2026-06-4276</t>
  </si>
  <si>
    <t>LENON, ALF M.</t>
  </si>
  <si>
    <t>SALARY (MAY)</t>
  </si>
  <si>
    <t>2026-06-4277</t>
  </si>
  <si>
    <t>REYES, ROILANA M.</t>
  </si>
  <si>
    <t>4261721</t>
  </si>
  <si>
    <t>13080</t>
  </si>
  <si>
    <t>N/A</t>
  </si>
  <si>
    <t>0</t>
  </si>
  <si>
    <t>0085135996</t>
  </si>
  <si>
    <t>2026-06-4278</t>
  </si>
  <si>
    <t>GUILAS, SHERYLL ANN S.</t>
  </si>
  <si>
    <t>4160848</t>
  </si>
  <si>
    <t>13081</t>
  </si>
  <si>
    <t>GUILAS, GEORGE JOSE MARIA C.</t>
  </si>
  <si>
    <t>4673905</t>
  </si>
  <si>
    <t>2908217/ 2908168</t>
  </si>
  <si>
    <t>MAY</t>
  </si>
  <si>
    <t>0085171399</t>
  </si>
  <si>
    <t>2026-06-4279</t>
  </si>
  <si>
    <t>ISIP, AIDA M.</t>
  </si>
  <si>
    <t>500</t>
  </si>
  <si>
    <t>4151206</t>
  </si>
  <si>
    <t>REGISTRAR I</t>
  </si>
  <si>
    <t>13082</t>
  </si>
  <si>
    <t>SAN MATIAS NHS/ STO. TOMAS</t>
  </si>
  <si>
    <t>BASILIO, CARINA I.</t>
  </si>
  <si>
    <t>41501964</t>
  </si>
  <si>
    <t>2908163</t>
  </si>
  <si>
    <t>0085069110</t>
  </si>
  <si>
    <t>2026-06-4280</t>
  </si>
  <si>
    <t>MARTIN, PAOLA P.</t>
  </si>
  <si>
    <t>5398880</t>
  </si>
  <si>
    <t>T-II</t>
  </si>
  <si>
    <t>13083</t>
  </si>
  <si>
    <t>MORALES, ALONA L.</t>
  </si>
  <si>
    <t>4593317</t>
  </si>
  <si>
    <t>2908088</t>
  </si>
  <si>
    <t>1525075199</t>
  </si>
  <si>
    <t>2026-06-4281</t>
  </si>
  <si>
    <t>PONCE, CARINA P.</t>
  </si>
  <si>
    <t>4149963</t>
  </si>
  <si>
    <t>HT-I</t>
  </si>
  <si>
    <t>13084</t>
  </si>
  <si>
    <t>GULAP HS/ CANDABA</t>
  </si>
  <si>
    <t>BACALA, EDMON G.</t>
  </si>
  <si>
    <t>4263120</t>
  </si>
  <si>
    <t>2907841/ 2907942</t>
  </si>
  <si>
    <t>0085067818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</si>
</sst>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dd\-mmm\-yy"/>
    <numFmt numFmtId="178" formatCode="mmm\-yy"/>
  </numFmts>
  <fonts count="43">
    <font>
      <sz val="11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1F497D"/>
      <name val="Calibri"/>
      <charset val="134"/>
      <scheme val="minor"/>
    </font>
    <font>
      <sz val="12"/>
      <color rgb="FF0000FF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1F497D"/>
      <name val="Calibri"/>
      <charset val="134"/>
      <scheme val="minor"/>
    </font>
    <font>
      <b/>
      <sz val="12"/>
      <color rgb="FF333333"/>
      <name val="Calibri"/>
      <charset val="134"/>
      <scheme val="minor"/>
    </font>
    <font>
      <b/>
      <sz val="12"/>
      <color rgb="FFFF0000"/>
      <name val="Arial"/>
      <charset val="134"/>
    </font>
    <font>
      <b/>
      <sz val="12"/>
      <color rgb="FF0000FF"/>
      <name val="Calibri"/>
      <charset val="134"/>
      <scheme val="minor"/>
    </font>
    <font>
      <sz val="12"/>
      <color rgb="FF333333"/>
      <name val="Calibri"/>
      <charset val="134"/>
      <scheme val="minor"/>
    </font>
    <font>
      <i/>
      <sz val="12"/>
      <color rgb="FF1F497D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rgb="FF0C0C0C"/>
      <name val="Calibri"/>
      <charset val="134"/>
      <scheme val="minor"/>
    </font>
    <font>
      <b/>
      <sz val="12"/>
      <color rgb="FF002060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4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6" borderId="10" applyNumberFormat="0" applyAlignment="0" applyProtection="0">
      <alignment vertical="center"/>
    </xf>
    <xf numFmtId="0" fontId="32" fillId="6" borderId="9" applyNumberFormat="0" applyAlignment="0" applyProtection="0">
      <alignment vertical="center"/>
    </xf>
    <xf numFmtId="0" fontId="33" fillId="7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</cellStyleXfs>
  <cellXfs count="10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 applyAlignment="1">
      <alignment horizontal="left"/>
    </xf>
    <xf numFmtId="176" fontId="1" fillId="3" borderId="1" xfId="0" applyNumberFormat="1" applyFont="1" applyFill="1" applyBorder="1" applyAlignment="1">
      <alignment horizontal="left" vertical="top"/>
    </xf>
    <xf numFmtId="1" fontId="1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176" fontId="4" fillId="3" borderId="1" xfId="0" applyNumberFormat="1" applyFont="1" applyFill="1" applyBorder="1" applyAlignment="1">
      <alignment horizontal="center" vertical="top"/>
    </xf>
    <xf numFmtId="176" fontId="5" fillId="3" borderId="1" xfId="0" applyNumberFormat="1" applyFont="1" applyFill="1" applyBorder="1" applyAlignment="1">
      <alignment horizontal="center" vertical="top"/>
    </xf>
    <xf numFmtId="176" fontId="2" fillId="3" borderId="1" xfId="0" applyNumberFormat="1" applyFont="1" applyFill="1" applyBorder="1" applyAlignment="1">
      <alignment vertical="top"/>
    </xf>
    <xf numFmtId="176" fontId="4" fillId="3" borderId="1" xfId="0" applyNumberFormat="1" applyFont="1" applyFill="1" applyBorder="1" applyAlignment="1">
      <alignment vertical="top"/>
    </xf>
    <xf numFmtId="176" fontId="7" fillId="3" borderId="1" xfId="0" applyNumberFormat="1" applyFont="1" applyFill="1" applyBorder="1" applyAlignment="1">
      <alignment vertical="top"/>
    </xf>
    <xf numFmtId="176" fontId="8" fillId="3" borderId="1" xfId="0" applyNumberFormat="1" applyFont="1" applyFill="1" applyBorder="1" applyAlignment="1">
      <alignment vertical="top"/>
    </xf>
    <xf numFmtId="177" fontId="5" fillId="3" borderId="1" xfId="0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left" vertical="top"/>
    </xf>
    <xf numFmtId="1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top"/>
    </xf>
    <xf numFmtId="176" fontId="5" fillId="3" borderId="1" xfId="0" applyNumberFormat="1" applyFont="1" applyFill="1" applyBorder="1" applyAlignment="1">
      <alignment horizontal="center" vertical="top" wrapText="1"/>
    </xf>
    <xf numFmtId="176" fontId="10" fillId="3" borderId="1" xfId="0" applyNumberFormat="1" applyFont="1" applyFill="1" applyBorder="1" applyAlignment="1">
      <alignment horizontal="center" vertical="top"/>
    </xf>
    <xf numFmtId="176" fontId="2" fillId="3" borderId="1" xfId="0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wrapText="1"/>
    </xf>
    <xf numFmtId="176" fontId="11" fillId="3" borderId="1" xfId="0" applyNumberFormat="1" applyFont="1" applyFill="1" applyBorder="1" applyAlignment="1">
      <alignment vertical="top"/>
    </xf>
    <xf numFmtId="178" fontId="5" fillId="3" borderId="1" xfId="0" applyNumberFormat="1" applyFont="1" applyFill="1" applyBorder="1" applyAlignment="1">
      <alignment vertical="top"/>
    </xf>
    <xf numFmtId="176" fontId="12" fillId="3" borderId="1" xfId="0" applyNumberFormat="1" applyFont="1" applyFill="1" applyBorder="1" applyAlignment="1">
      <alignment vertical="top"/>
    </xf>
    <xf numFmtId="1" fontId="4" fillId="3" borderId="1" xfId="0" applyNumberFormat="1" applyFont="1" applyFill="1" applyBorder="1" applyAlignment="1">
      <alignment vertical="top"/>
    </xf>
    <xf numFmtId="49" fontId="4" fillId="3" borderId="1" xfId="0" applyNumberFormat="1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vertical="top"/>
    </xf>
    <xf numFmtId="0" fontId="14" fillId="3" borderId="1" xfId="0" applyFont="1" applyFill="1" applyBorder="1" applyAlignment="1">
      <alignment vertical="top"/>
    </xf>
    <xf numFmtId="0" fontId="15" fillId="3" borderId="1" xfId="0" applyFont="1" applyFill="1" applyBorder="1" applyAlignment="1">
      <alignment horizontal="center" vertical="top"/>
    </xf>
    <xf numFmtId="176" fontId="13" fillId="3" borderId="1" xfId="0" applyNumberFormat="1" applyFont="1" applyFill="1" applyBorder="1" applyAlignment="1">
      <alignment horizontal="center" vertical="top"/>
    </xf>
    <xf numFmtId="176" fontId="10" fillId="3" borderId="1" xfId="0" applyNumberFormat="1" applyFont="1" applyFill="1" applyBorder="1" applyAlignment="1">
      <alignment vertical="top"/>
    </xf>
    <xf numFmtId="176" fontId="13" fillId="3" borderId="1" xfId="0" applyNumberFormat="1" applyFont="1" applyFill="1" applyBorder="1" applyAlignment="1">
      <alignment vertical="top"/>
    </xf>
    <xf numFmtId="176" fontId="13" fillId="3" borderId="1" xfId="0" applyNumberFormat="1" applyFont="1" applyFill="1" applyBorder="1" applyAlignment="1">
      <alignment horizontal="left" vertical="top"/>
    </xf>
    <xf numFmtId="0" fontId="8" fillId="3" borderId="1" xfId="0" applyFont="1" applyFill="1" applyBorder="1" applyAlignment="1">
      <alignment vertical="top"/>
    </xf>
    <xf numFmtId="176" fontId="16" fillId="3" borderId="1" xfId="0" applyNumberFormat="1" applyFont="1" applyFill="1" applyBorder="1"/>
    <xf numFmtId="43" fontId="2" fillId="3" borderId="1" xfId="0" applyNumberFormat="1" applyFont="1" applyFill="1" applyBorder="1" applyAlignment="1">
      <alignment vertical="top"/>
    </xf>
    <xf numFmtId="3" fontId="17" fillId="3" borderId="1" xfId="0" applyNumberFormat="1" applyFont="1" applyFill="1" applyBorder="1" applyAlignment="1">
      <alignment horizontal="right" vertical="top"/>
    </xf>
    <xf numFmtId="4" fontId="17" fillId="3" borderId="1" xfId="0" applyNumberFormat="1" applyFont="1" applyFill="1" applyBorder="1"/>
    <xf numFmtId="43" fontId="4" fillId="3" borderId="1" xfId="0" applyNumberFormat="1" applyFont="1" applyFill="1" applyBorder="1" applyAlignment="1">
      <alignment vertical="top"/>
    </xf>
    <xf numFmtId="43" fontId="18" fillId="3" borderId="1" xfId="0" applyNumberFormat="1" applyFont="1" applyFill="1" applyBorder="1"/>
    <xf numFmtId="43" fontId="2" fillId="3" borderId="1" xfId="0" applyNumberFormat="1" applyFont="1" applyFill="1" applyBorder="1" applyAlignment="1">
      <alignment horizontal="center" vertical="top"/>
    </xf>
    <xf numFmtId="43" fontId="5" fillId="3" borderId="1" xfId="0" applyNumberFormat="1" applyFont="1" applyFill="1" applyBorder="1" applyAlignment="1">
      <alignment horizontal="center" vertical="top"/>
    </xf>
    <xf numFmtId="43" fontId="12" fillId="3" borderId="1" xfId="0" applyNumberFormat="1" applyFont="1" applyFill="1" applyBorder="1" applyAlignment="1">
      <alignment vertical="top"/>
    </xf>
    <xf numFmtId="43" fontId="7" fillId="3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 vertical="top"/>
    </xf>
    <xf numFmtId="43" fontId="4" fillId="3" borderId="1" xfId="0" applyNumberFormat="1" applyFont="1" applyFill="1" applyBorder="1" applyAlignment="1">
      <alignment horizontal="left" vertical="top"/>
    </xf>
    <xf numFmtId="1" fontId="4" fillId="3" borderId="1" xfId="0" applyNumberFormat="1" applyFont="1" applyFill="1" applyBorder="1" applyAlignment="1">
      <alignment horizontal="right" vertical="top"/>
    </xf>
    <xf numFmtId="0" fontId="19" fillId="3" borderId="1" xfId="0" applyFont="1" applyFill="1" applyBorder="1"/>
    <xf numFmtId="4" fontId="3" fillId="3" borderId="1" xfId="0" applyNumberFormat="1" applyFont="1" applyFill="1" applyBorder="1"/>
    <xf numFmtId="0" fontId="4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43" fontId="5" fillId="3" borderId="2" xfId="0" applyNumberFormat="1" applyFont="1" applyFill="1" applyBorder="1" applyAlignment="1">
      <alignment horizontal="center" vertical="top"/>
    </xf>
    <xf numFmtId="43" fontId="16" fillId="3" borderId="2" xfId="0" applyNumberFormat="1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horizontal="left" vertical="top"/>
    </xf>
    <xf numFmtId="43" fontId="4" fillId="3" borderId="2" xfId="0" applyNumberFormat="1" applyFont="1" applyFill="1" applyBorder="1" applyAlignment="1">
      <alignment horizontal="left" vertical="top"/>
    </xf>
    <xf numFmtId="1" fontId="4" fillId="3" borderId="2" xfId="0" applyNumberFormat="1" applyFont="1" applyFill="1" applyBorder="1" applyAlignment="1">
      <alignment horizontal="right" vertical="top"/>
    </xf>
    <xf numFmtId="0" fontId="4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/>
    </xf>
    <xf numFmtId="0" fontId="1" fillId="3" borderId="0" xfId="0" applyFont="1" applyFill="1"/>
    <xf numFmtId="0" fontId="20" fillId="3" borderId="2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43" fontId="4" fillId="3" borderId="2" xfId="0" applyNumberFormat="1" applyFont="1" applyFill="1" applyBorder="1" applyAlignment="1">
      <alignment vertical="top"/>
    </xf>
    <xf numFmtId="43" fontId="2" fillId="0" borderId="5" xfId="0" applyNumberFormat="1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43" fontId="4" fillId="2" borderId="1" xfId="0" applyNumberFormat="1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43" fontId="5" fillId="2" borderId="1" xfId="0" applyNumberFormat="1" applyFont="1" applyFill="1" applyBorder="1" applyAlignment="1">
      <alignment horizontal="center" vertical="top"/>
    </xf>
    <xf numFmtId="43" fontId="2" fillId="2" borderId="1" xfId="0" applyNumberFormat="1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43" fontId="4" fillId="2" borderId="1" xfId="0" applyNumberFormat="1" applyFont="1" applyFill="1" applyBorder="1" applyAlignment="1">
      <alignment horizontal="left" vertical="top"/>
    </xf>
    <xf numFmtId="1" fontId="4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D44"/>
  <sheetViews>
    <sheetView tabSelected="1" zoomScale="85" zoomScaleNormal="85" topLeftCell="A18" workbookViewId="0">
      <selection activeCell="E45" sqref="E45"/>
    </sheetView>
  </sheetViews>
  <sheetFormatPr defaultColWidth="14.4444444444444" defaultRowHeight="15.6" customHeight="1"/>
  <cols>
    <col min="1" max="1" width="8.22222222222222" style="3" customWidth="1"/>
    <col min="2" max="2" width="33.6666666666667" style="4" customWidth="1"/>
    <col min="3" max="3" width="10.1111111111111" style="3" customWidth="1"/>
    <col min="4" max="4" width="15.8888888888889" style="3" customWidth="1"/>
    <col min="5" max="5" width="40" style="3" customWidth="1"/>
    <col min="6" max="6" width="28.3333333333333" style="5" customWidth="1"/>
    <col min="7" max="7" width="25.3333333333333" style="3" customWidth="1"/>
    <col min="8" max="8" width="16" style="6" customWidth="1"/>
    <col min="9" max="9" width="14.5555555555556" style="6" customWidth="1"/>
    <col min="10" max="10" width="18.8888888888889" style="3" customWidth="1"/>
    <col min="11" max="11" width="19.6666666666667" style="3" customWidth="1"/>
    <col min="12" max="12" width="15.3333333333333" style="3" customWidth="1"/>
    <col min="13" max="13" width="14.8888888888889" style="3" hidden="1" customWidth="1"/>
    <col min="14" max="14" width="15.3333333333333" style="3" hidden="1" customWidth="1"/>
    <col min="15" max="15" width="13.4444444444444" style="3" hidden="1" customWidth="1"/>
    <col min="16" max="16" width="15.3333333333333" style="3" hidden="1" customWidth="1"/>
    <col min="17" max="17" width="10.2222222222222" style="7" customWidth="1"/>
    <col min="18" max="18" width="14.7777777777778" style="3" customWidth="1"/>
    <col min="19" max="19" width="14.6666666666667" style="3" customWidth="1"/>
    <col min="20" max="20" width="13" style="8" customWidth="1"/>
    <col min="21" max="21" width="14.8888888888889" style="4" customWidth="1"/>
    <col min="22" max="22" width="11.2222222222222" style="9" customWidth="1"/>
    <col min="23" max="23" width="56.1111111111111" style="3" customWidth="1"/>
    <col min="24" max="24" width="38.2222222222222" style="3" customWidth="1"/>
    <col min="25" max="25" width="16" style="7" customWidth="1"/>
    <col min="26" max="26" width="41.1111111111111" style="3" customWidth="1"/>
    <col min="27" max="27" width="27.7777777777778" style="9" customWidth="1"/>
    <col min="28" max="28" width="18.2222222222222" style="3" customWidth="1"/>
    <col min="29" max="29" width="16" style="10" customWidth="1"/>
    <col min="30" max="30" width="23.5555555555556" style="3" customWidth="1"/>
    <col min="31" max="31" width="15.3333333333333" style="3" customWidth="1"/>
    <col min="32" max="32" width="24.8888888888889" style="3" customWidth="1"/>
    <col min="33" max="16384" width="14.4444444444444" style="3" customWidth="1"/>
  </cols>
  <sheetData>
    <row r="1" ht="24.75" customHeight="1" spans="1:30">
      <c r="A1" s="11"/>
      <c r="B1" s="12" t="s">
        <v>0</v>
      </c>
      <c r="C1" s="13"/>
      <c r="D1" s="13"/>
      <c r="E1" s="13"/>
      <c r="G1" s="13"/>
      <c r="H1" s="14"/>
      <c r="I1" s="14"/>
      <c r="J1" s="13"/>
      <c r="K1" s="13"/>
      <c r="L1" s="11"/>
      <c r="M1" s="11" t="s">
        <v>1</v>
      </c>
      <c r="N1" s="11"/>
      <c r="O1" s="11"/>
      <c r="P1" s="11"/>
    </row>
    <row r="2" ht="6" customHeight="1" spans="1:30">
      <c r="A2" s="11"/>
      <c r="B2" s="12"/>
      <c r="C2" s="11"/>
      <c r="D2" s="11"/>
      <c r="E2" s="15"/>
      <c r="F2" s="16"/>
      <c r="G2" s="17"/>
      <c r="H2" s="18"/>
      <c r="I2" s="18"/>
      <c r="J2" s="19"/>
      <c r="K2" s="20"/>
      <c r="L2" s="21"/>
      <c r="M2" s="22"/>
      <c r="N2" s="11"/>
      <c r="O2" s="19"/>
      <c r="P2" s="11"/>
    </row>
    <row r="3" ht="36" customHeight="1" spans="1:30">
      <c r="A3" s="11"/>
      <c r="B3" s="12" t="s">
        <v>2</v>
      </c>
      <c r="C3" s="13"/>
      <c r="D3" s="13"/>
      <c r="E3" s="13"/>
      <c r="G3" s="13"/>
      <c r="H3" s="14"/>
      <c r="I3" s="14"/>
      <c r="J3" s="13"/>
      <c r="K3" s="13"/>
      <c r="L3" s="13"/>
      <c r="M3" s="13"/>
      <c r="N3" s="11"/>
      <c r="O3" s="11"/>
      <c r="P3" s="11"/>
    </row>
    <row r="4" ht="22.95" customHeight="1" spans="1:30">
      <c r="A4" s="11"/>
      <c r="B4" s="12"/>
      <c r="C4" s="11"/>
      <c r="D4" s="11"/>
      <c r="E4" s="15"/>
      <c r="F4" s="16"/>
      <c r="G4" s="23">
        <v>45931</v>
      </c>
      <c r="H4" s="23"/>
      <c r="I4" s="23"/>
      <c r="J4" s="19"/>
      <c r="K4" s="20"/>
      <c r="L4" s="21"/>
      <c r="M4" s="22"/>
      <c r="N4" s="22"/>
      <c r="O4" s="19"/>
      <c r="P4" s="11"/>
      <c r="Q4" s="24" t="s">
        <v>3</v>
      </c>
      <c r="R4" s="25" t="s">
        <v>4</v>
      </c>
      <c r="S4" s="25"/>
      <c r="T4" s="26" t="s">
        <v>5</v>
      </c>
      <c r="U4" s="25" t="s">
        <v>6</v>
      </c>
      <c r="V4" s="27" t="s">
        <v>7</v>
      </c>
      <c r="W4" s="25"/>
      <c r="X4" s="25"/>
      <c r="Y4" s="24"/>
      <c r="Z4" s="25"/>
      <c r="AA4" s="27"/>
      <c r="AC4" s="28"/>
    </row>
    <row r="5" ht="45" customHeight="1" spans="1:30">
      <c r="A5" s="29" t="s">
        <v>8</v>
      </c>
      <c r="B5" s="30" t="s">
        <v>9</v>
      </c>
      <c r="C5" s="31"/>
      <c r="D5" s="30" t="s">
        <v>10</v>
      </c>
      <c r="E5" s="32" t="s">
        <v>11</v>
      </c>
      <c r="F5" s="16"/>
      <c r="G5" s="18" t="s">
        <v>12</v>
      </c>
      <c r="H5" s="18" t="s">
        <v>13</v>
      </c>
      <c r="I5" s="33" t="s">
        <v>14</v>
      </c>
      <c r="J5" s="33" t="s">
        <v>15</v>
      </c>
      <c r="K5" s="34" t="s">
        <v>16</v>
      </c>
      <c r="L5" s="29"/>
      <c r="M5" s="35"/>
      <c r="N5" s="29"/>
      <c r="O5" s="33" t="s">
        <v>15</v>
      </c>
      <c r="P5" s="29"/>
      <c r="Q5" s="24" t="s">
        <v>17</v>
      </c>
      <c r="R5" s="25" t="s">
        <v>18</v>
      </c>
      <c r="S5" s="36" t="s">
        <v>19</v>
      </c>
      <c r="T5" s="26" t="s">
        <v>20</v>
      </c>
      <c r="U5" s="25"/>
      <c r="V5" s="27" t="s">
        <v>18</v>
      </c>
      <c r="W5" s="25" t="s">
        <v>21</v>
      </c>
      <c r="X5" s="25" t="s">
        <v>22</v>
      </c>
      <c r="Y5" s="24" t="s">
        <v>23</v>
      </c>
      <c r="Z5" s="25" t="s">
        <v>24</v>
      </c>
      <c r="AA5" s="27" t="s">
        <v>25</v>
      </c>
      <c r="AB5" s="3" t="s">
        <v>26</v>
      </c>
      <c r="AC5" s="28" t="s">
        <v>27</v>
      </c>
      <c r="AD5" s="3" t="s">
        <v>28</v>
      </c>
    </row>
    <row r="6" ht="13.8" customHeight="1" spans="1:30">
      <c r="A6" s="29"/>
      <c r="B6" s="30"/>
      <c r="C6" s="30"/>
      <c r="D6" s="30"/>
      <c r="E6" s="32"/>
      <c r="F6" s="16"/>
      <c r="G6" s="18"/>
      <c r="H6" s="18"/>
      <c r="I6" s="33"/>
      <c r="J6" s="33"/>
      <c r="K6" s="37">
        <v>6245885.55000001</v>
      </c>
      <c r="L6" s="29"/>
      <c r="M6" s="35"/>
      <c r="N6" s="29"/>
      <c r="O6" s="33"/>
      <c r="P6" s="29"/>
      <c r="Q6" s="24"/>
      <c r="R6" s="25"/>
      <c r="S6" s="36"/>
      <c r="T6" s="26"/>
      <c r="U6" s="25"/>
      <c r="V6" s="27"/>
      <c r="W6" s="25"/>
      <c r="X6" s="25"/>
      <c r="Y6" s="24"/>
      <c r="Z6" s="25"/>
      <c r="AA6" s="27"/>
      <c r="AC6" s="28"/>
    </row>
    <row r="7" ht="13.5" customHeight="1" spans="1:30">
      <c r="A7" s="38"/>
      <c r="B7" s="30"/>
      <c r="C7" s="29"/>
      <c r="D7" s="29"/>
      <c r="E7" s="32"/>
      <c r="F7" s="16"/>
      <c r="G7" s="18" t="s">
        <v>29</v>
      </c>
      <c r="H7" s="18"/>
      <c r="I7" s="18"/>
      <c r="J7" s="39"/>
      <c r="K7" s="37">
        <v>6245885.55000001</v>
      </c>
      <c r="L7" s="39"/>
      <c r="M7" s="35"/>
      <c r="N7" s="29"/>
      <c r="O7" s="39"/>
      <c r="P7" s="29"/>
      <c r="Q7" s="26"/>
      <c r="R7" s="20"/>
      <c r="S7" s="20"/>
      <c r="T7" s="26"/>
      <c r="U7" s="17"/>
      <c r="V7" s="40"/>
      <c r="W7" s="20"/>
      <c r="X7" s="20"/>
      <c r="Y7" s="26"/>
      <c r="Z7" s="20"/>
      <c r="AA7" s="40"/>
      <c r="AC7" s="41"/>
    </row>
    <row r="8" ht="12.75" customHeight="1" spans="1:30">
      <c r="A8" s="11"/>
      <c r="B8" s="42"/>
      <c r="C8" s="43"/>
      <c r="D8" s="43"/>
      <c r="E8" s="44" t="s">
        <v>30</v>
      </c>
      <c r="F8" s="45"/>
      <c r="G8" s="46"/>
      <c r="H8" s="34"/>
      <c r="I8" s="34"/>
      <c r="J8" s="47"/>
      <c r="K8" s="37">
        <v>6245885.55000001</v>
      </c>
      <c r="L8" s="48"/>
      <c r="M8" s="49"/>
      <c r="N8" s="11"/>
      <c r="O8" s="47"/>
      <c r="P8" s="11"/>
      <c r="Q8" s="26"/>
      <c r="R8" s="20"/>
      <c r="S8" s="20"/>
      <c r="T8" s="26"/>
      <c r="U8" s="17"/>
      <c r="V8" s="40"/>
      <c r="W8" s="20"/>
      <c r="X8" s="20"/>
      <c r="Y8" s="26"/>
      <c r="Z8" s="20"/>
      <c r="AA8" s="40"/>
      <c r="AC8" s="41"/>
    </row>
    <row r="9" ht="12.75" customHeight="1" spans="1:30">
      <c r="A9" s="11"/>
      <c r="B9" s="12"/>
      <c r="C9" s="11"/>
      <c r="D9" s="50"/>
      <c r="E9" s="32"/>
      <c r="F9" s="16"/>
      <c r="G9" s="18"/>
      <c r="H9" s="18"/>
      <c r="I9" s="18"/>
      <c r="J9" s="19"/>
      <c r="K9" s="37">
        <v>6245885.55000001</v>
      </c>
      <c r="L9" s="21"/>
      <c r="M9" s="22"/>
      <c r="N9" s="29"/>
      <c r="O9" s="19"/>
      <c r="P9" s="11"/>
      <c r="Q9" s="26"/>
      <c r="R9" s="20"/>
      <c r="S9" s="20"/>
      <c r="T9" s="26"/>
      <c r="U9" s="17"/>
      <c r="V9" s="40"/>
      <c r="W9" s="20"/>
      <c r="X9" s="20"/>
      <c r="Y9" s="26"/>
      <c r="Z9" s="20"/>
      <c r="AA9" s="40"/>
      <c r="AC9" s="41"/>
    </row>
    <row r="10" ht="12.75" customHeight="1" spans="1:30">
      <c r="A10" s="11"/>
      <c r="B10" s="12"/>
      <c r="C10" s="11"/>
      <c r="D10" s="50"/>
      <c r="E10" s="32" t="s">
        <v>31</v>
      </c>
      <c r="F10" s="16"/>
      <c r="G10" s="51"/>
      <c r="H10" s="18"/>
      <c r="I10" s="18"/>
      <c r="J10" s="19"/>
      <c r="K10" s="52">
        <f t="shared" ref="K10:K20" si="0">K9+G10-J10</f>
        <v>6245885.55000001</v>
      </c>
      <c r="L10" s="21"/>
      <c r="M10" s="18"/>
      <c r="N10" s="20"/>
      <c r="O10" s="19"/>
      <c r="P10" s="11"/>
      <c r="Q10" s="26"/>
      <c r="R10" s="20"/>
      <c r="S10" s="20"/>
      <c r="T10" s="26"/>
      <c r="U10" s="17"/>
      <c r="V10" s="40"/>
      <c r="W10" s="20"/>
      <c r="X10" s="20"/>
      <c r="Y10" s="26"/>
      <c r="Z10" s="20"/>
      <c r="AA10" s="40"/>
      <c r="AC10" s="41"/>
    </row>
    <row r="11" ht="12.75" customHeight="1" spans="1:30">
      <c r="A11" s="11"/>
      <c r="B11" s="12"/>
      <c r="C11" s="11"/>
      <c r="D11" s="50"/>
      <c r="E11" s="32" t="s">
        <v>32</v>
      </c>
      <c r="F11" s="16"/>
      <c r="G11" s="18"/>
      <c r="H11" s="18"/>
      <c r="I11" s="18"/>
      <c r="J11" s="19"/>
      <c r="K11" s="52">
        <f t="shared" si="0"/>
        <v>6245885.55000001</v>
      </c>
      <c r="L11" s="21"/>
      <c r="M11" s="18"/>
      <c r="N11" s="20"/>
      <c r="O11" s="19"/>
      <c r="P11" s="11"/>
      <c r="Q11" s="26"/>
      <c r="R11" s="20"/>
      <c r="S11" s="20"/>
      <c r="T11" s="26"/>
      <c r="U11" s="17"/>
      <c r="V11" s="40"/>
      <c r="W11" s="20"/>
      <c r="X11" s="20"/>
      <c r="Y11" s="26"/>
      <c r="Z11" s="20"/>
      <c r="AA11" s="40"/>
      <c r="AC11" s="41"/>
    </row>
    <row r="12" ht="12.75" customHeight="1" spans="1:30">
      <c r="A12" s="11"/>
      <c r="B12" s="12"/>
      <c r="C12" s="11"/>
      <c r="D12" s="50"/>
      <c r="E12" s="15"/>
      <c r="F12" s="16"/>
      <c r="G12" s="18"/>
      <c r="H12" s="18"/>
      <c r="I12" s="18"/>
      <c r="J12" s="19"/>
      <c r="K12" s="52">
        <f t="shared" si="0"/>
        <v>6245885.55000001</v>
      </c>
      <c r="L12" s="21"/>
      <c r="M12" s="18"/>
      <c r="N12" s="20"/>
      <c r="O12" s="19"/>
      <c r="P12" s="11"/>
      <c r="Q12" s="26"/>
      <c r="R12" s="20"/>
      <c r="S12" s="20"/>
      <c r="T12" s="26"/>
      <c r="U12" s="17"/>
      <c r="V12" s="40"/>
      <c r="W12" s="20"/>
      <c r="X12" s="20"/>
      <c r="Y12" s="26"/>
      <c r="Z12" s="20"/>
      <c r="AA12" s="40"/>
      <c r="AC12" s="41"/>
    </row>
    <row r="13" ht="12.75" customHeight="1" spans="1:30">
      <c r="A13" s="11"/>
      <c r="B13" s="53">
        <v>1700000</v>
      </c>
      <c r="C13" s="11"/>
      <c r="D13" s="50"/>
      <c r="E13" s="32" t="s">
        <v>33</v>
      </c>
      <c r="F13" s="16"/>
      <c r="G13" s="18">
        <v>2000000</v>
      </c>
      <c r="H13" s="18"/>
      <c r="I13" s="18"/>
      <c r="J13" s="19"/>
      <c r="K13" s="52">
        <f t="shared" si="0"/>
        <v>8245885.55000001</v>
      </c>
      <c r="L13" s="21"/>
      <c r="M13" s="22"/>
      <c r="N13" s="20"/>
      <c r="O13" s="19"/>
      <c r="P13" s="11"/>
      <c r="Q13" s="26"/>
      <c r="R13" s="20"/>
      <c r="S13" s="20"/>
      <c r="T13" s="26"/>
      <c r="U13" s="17"/>
      <c r="V13" s="40"/>
      <c r="W13" s="20"/>
      <c r="X13" s="20"/>
      <c r="Y13" s="26"/>
      <c r="Z13" s="20"/>
      <c r="AA13" s="40"/>
      <c r="AC13" s="41"/>
    </row>
    <row r="14" ht="12.75" customHeight="1" spans="1:30">
      <c r="A14" s="11"/>
      <c r="B14" s="54"/>
      <c r="C14" s="11"/>
      <c r="D14" s="50"/>
      <c r="E14" s="32" t="s">
        <v>34</v>
      </c>
      <c r="F14" s="16"/>
      <c r="G14" s="18"/>
      <c r="H14" s="18"/>
      <c r="I14" s="18"/>
      <c r="J14" s="19"/>
      <c r="K14" s="52">
        <f t="shared" si="0"/>
        <v>8245885.55000001</v>
      </c>
      <c r="L14" s="21"/>
      <c r="M14" s="22"/>
      <c r="N14" s="20"/>
      <c r="O14" s="19"/>
      <c r="P14" s="11"/>
      <c r="Q14" s="26"/>
      <c r="R14" s="20"/>
      <c r="S14" s="20"/>
      <c r="T14" s="26"/>
      <c r="U14" s="17"/>
      <c r="V14" s="40"/>
      <c r="W14" s="20"/>
      <c r="X14" s="20"/>
      <c r="Y14" s="26"/>
      <c r="Z14" s="20"/>
      <c r="AA14" s="40"/>
      <c r="AC14" s="41"/>
    </row>
    <row r="15" ht="12.75" customHeight="1" spans="1:30">
      <c r="A15" s="11"/>
      <c r="B15" s="54"/>
      <c r="C15" s="11"/>
      <c r="D15" s="50"/>
      <c r="E15" s="32"/>
      <c r="F15" s="16"/>
      <c r="G15" s="18"/>
      <c r="H15" s="18"/>
      <c r="I15" s="18"/>
      <c r="J15" s="19"/>
      <c r="K15" s="52">
        <f t="shared" si="0"/>
        <v>8245885.55000001</v>
      </c>
      <c r="L15" s="21"/>
      <c r="M15" s="22"/>
      <c r="N15" s="20"/>
      <c r="O15" s="19"/>
      <c r="P15" s="11"/>
      <c r="Q15" s="26"/>
      <c r="R15" s="20"/>
      <c r="S15" s="20"/>
      <c r="T15" s="26"/>
      <c r="U15" s="17"/>
      <c r="V15" s="40"/>
      <c r="W15" s="20"/>
      <c r="X15" s="20"/>
      <c r="Y15" s="26"/>
      <c r="Z15" s="20"/>
      <c r="AA15" s="40"/>
      <c r="AC15" s="41"/>
    </row>
    <row r="16" ht="12.75" customHeight="1" spans="1:30">
      <c r="A16" s="11"/>
      <c r="B16" s="54"/>
      <c r="C16" s="11"/>
      <c r="D16" s="50"/>
      <c r="E16" s="32"/>
      <c r="F16" s="16"/>
      <c r="G16" s="18"/>
      <c r="H16" s="18"/>
      <c r="I16" s="18"/>
      <c r="J16" s="19"/>
      <c r="K16" s="52">
        <f t="shared" si="0"/>
        <v>8245885.55000001</v>
      </c>
      <c r="L16" s="21"/>
      <c r="M16" s="22"/>
      <c r="N16" s="20"/>
      <c r="O16" s="19"/>
      <c r="P16" s="11"/>
      <c r="Q16" s="26"/>
      <c r="R16" s="20"/>
      <c r="S16" s="20"/>
      <c r="T16" s="26"/>
      <c r="U16" s="17"/>
      <c r="V16" s="40"/>
      <c r="W16" s="20"/>
      <c r="X16" s="20"/>
      <c r="Y16" s="26"/>
      <c r="Z16" s="20"/>
      <c r="AA16" s="40"/>
      <c r="AC16" s="41"/>
    </row>
    <row r="17" ht="12.6" customHeight="1" spans="1:30">
      <c r="A17" s="11"/>
      <c r="B17" s="12"/>
      <c r="C17" s="11"/>
      <c r="D17" s="55"/>
      <c r="E17" s="56" t="s">
        <v>35</v>
      </c>
      <c r="F17" s="57" t="s">
        <v>36</v>
      </c>
      <c r="G17" s="58"/>
      <c r="H17" s="58"/>
      <c r="I17" s="58"/>
      <c r="J17" s="59"/>
      <c r="K17" s="52">
        <f t="shared" si="0"/>
        <v>8245885.55000001</v>
      </c>
      <c r="L17" s="60"/>
      <c r="M17" s="20"/>
      <c r="N17" s="11"/>
      <c r="O17" s="39"/>
      <c r="P17" s="11"/>
      <c r="Q17" s="26"/>
      <c r="R17" s="20"/>
      <c r="S17" s="20"/>
      <c r="T17" s="26"/>
      <c r="U17" s="17"/>
      <c r="V17" s="40"/>
      <c r="W17" s="20"/>
      <c r="X17" s="20"/>
      <c r="Y17" s="26"/>
      <c r="Z17" s="20"/>
      <c r="AA17" s="40"/>
      <c r="AC17" s="41"/>
    </row>
    <row r="18" ht="12.6" customHeight="1" spans="1:30">
      <c r="A18" s="11"/>
      <c r="B18" s="12" t="s">
        <v>37</v>
      </c>
      <c r="C18" s="11"/>
      <c r="D18" s="55" t="s">
        <v>38</v>
      </c>
      <c r="E18" s="32" t="s">
        <v>39</v>
      </c>
      <c r="F18" s="16"/>
      <c r="G18" s="30"/>
      <c r="H18" s="58">
        <v>100000</v>
      </c>
      <c r="I18" s="58"/>
      <c r="J18" s="58">
        <v>100000</v>
      </c>
      <c r="K18" s="52">
        <f t="shared" si="0"/>
        <v>8145885.55000001</v>
      </c>
      <c r="L18" s="61"/>
      <c r="M18" s="50"/>
      <c r="N18" s="11"/>
      <c r="O18" s="62"/>
      <c r="P18" s="11"/>
      <c r="Q18" s="63" t="s">
        <v>40</v>
      </c>
      <c r="R18" s="63">
        <v>5422402</v>
      </c>
      <c r="S18" s="63">
        <v>60</v>
      </c>
      <c r="T18" s="64">
        <v>1933.29</v>
      </c>
      <c r="U18" s="12" t="s">
        <v>41</v>
      </c>
      <c r="V18" s="65">
        <v>13081</v>
      </c>
      <c r="W18" s="63" t="s">
        <v>42</v>
      </c>
      <c r="X18" s="63" t="s">
        <v>43</v>
      </c>
      <c r="Y18" s="63">
        <v>4336279</v>
      </c>
      <c r="Z18" s="63" t="s">
        <v>37</v>
      </c>
      <c r="AA18" s="63"/>
      <c r="AB18" s="7"/>
      <c r="AC18" s="41" t="s">
        <v>44</v>
      </c>
    </row>
    <row r="19" spans="1:30">
      <c r="B19" s="4" t="s">
        <v>45</v>
      </c>
      <c r="D19" s="55" t="s">
        <v>46</v>
      </c>
      <c r="E19" s="66" t="s">
        <v>47</v>
      </c>
      <c r="F19" s="5" t="s">
        <v>45</v>
      </c>
      <c r="H19" s="67">
        <v>8606.65</v>
      </c>
      <c r="J19" s="67">
        <v>8606.65</v>
      </c>
      <c r="K19" s="52">
        <f t="shared" si="0"/>
        <v>8137278.90000001</v>
      </c>
      <c r="W19" s="3" t="s">
        <v>48</v>
      </c>
      <c r="AC19" s="10" t="s">
        <v>49</v>
      </c>
    </row>
    <row r="20" spans="1:30">
      <c r="B20" s="4" t="s">
        <v>45</v>
      </c>
      <c r="D20" s="55" t="s">
        <v>50</v>
      </c>
      <c r="E20" s="66" t="s">
        <v>51</v>
      </c>
      <c r="F20" s="5" t="s">
        <v>45</v>
      </c>
      <c r="H20" s="67">
        <v>5799.85</v>
      </c>
      <c r="J20" s="67">
        <v>5799.85</v>
      </c>
      <c r="K20" s="52">
        <f t="shared" si="0"/>
        <v>8131479.05000001</v>
      </c>
      <c r="W20" s="3" t="s">
        <v>52</v>
      </c>
      <c r="AC20" s="10" t="s">
        <v>53</v>
      </c>
    </row>
    <row r="21" spans="1:30">
      <c r="A21" s="11"/>
      <c r="B21" s="12" t="s">
        <v>37</v>
      </c>
      <c r="C21" s="11" t="s">
        <v>54</v>
      </c>
      <c r="D21" s="55" t="s">
        <v>55</v>
      </c>
      <c r="E21" s="32" t="s">
        <v>39</v>
      </c>
      <c r="F21" s="16" t="s">
        <v>54</v>
      </c>
      <c r="G21" s="30"/>
      <c r="H21" s="58">
        <v>100000</v>
      </c>
      <c r="I21" s="58">
        <v>0</v>
      </c>
      <c r="J21" s="58">
        <v>100000</v>
      </c>
      <c r="K21" s="52">
        <f>N(K20)+N(G21)-N(J21)</f>
        <v>8031479.05000001</v>
      </c>
      <c r="L21" s="61"/>
      <c r="M21" s="50"/>
      <c r="N21" s="11"/>
      <c r="O21" s="62"/>
      <c r="P21" s="11"/>
      <c r="Q21" s="63" t="s">
        <v>40</v>
      </c>
      <c r="R21" s="63" t="s">
        <v>56</v>
      </c>
      <c r="S21" s="63" t="s">
        <v>57</v>
      </c>
      <c r="T21" s="64">
        <v>1933.29</v>
      </c>
      <c r="U21" s="12" t="s">
        <v>58</v>
      </c>
      <c r="V21" s="65" t="s">
        <v>59</v>
      </c>
      <c r="W21" s="63" t="s">
        <v>42</v>
      </c>
      <c r="X21" s="63" t="s">
        <v>43</v>
      </c>
      <c r="Y21" s="63" t="s">
        <v>60</v>
      </c>
      <c r="Z21" s="63" t="s">
        <v>61</v>
      </c>
      <c r="AA21" s="63" t="s">
        <v>54</v>
      </c>
      <c r="AB21" s="7" t="s">
        <v>54</v>
      </c>
      <c r="AC21" s="41" t="s">
        <v>44</v>
      </c>
    </row>
    <row r="22" spans="1:30">
      <c r="A22" s="11"/>
      <c r="B22" s="12" t="s">
        <v>62</v>
      </c>
      <c r="C22" s="11" t="s">
        <v>54</v>
      </c>
      <c r="D22" s="55" t="s">
        <v>63</v>
      </c>
      <c r="E22" s="32" t="s">
        <v>64</v>
      </c>
      <c r="F22" s="16" t="s">
        <v>54</v>
      </c>
      <c r="G22" s="30"/>
      <c r="H22" s="58">
        <v>100000</v>
      </c>
      <c r="I22" s="58">
        <v>0</v>
      </c>
      <c r="J22" s="58">
        <v>100000</v>
      </c>
      <c r="K22" s="52">
        <f>N(K21)+N(G22)-N(J22)</f>
        <v>7931479.05000001</v>
      </c>
      <c r="L22" s="61"/>
      <c r="M22" s="50"/>
      <c r="N22" s="11"/>
      <c r="O22" s="62"/>
      <c r="P22" s="11"/>
      <c r="Q22" s="63" t="s">
        <v>65</v>
      </c>
      <c r="R22" s="63" t="s">
        <v>66</v>
      </c>
      <c r="S22" s="63" t="s">
        <v>57</v>
      </c>
      <c r="T22" s="64">
        <v>1933.29</v>
      </c>
      <c r="U22" s="12" t="s">
        <v>67</v>
      </c>
      <c r="V22" s="65" t="s">
        <v>59</v>
      </c>
      <c r="W22" s="63" t="s">
        <v>52</v>
      </c>
      <c r="X22" s="63" t="s">
        <v>68</v>
      </c>
      <c r="Y22" s="63" t="s">
        <v>69</v>
      </c>
      <c r="Z22" s="63" t="s">
        <v>70</v>
      </c>
      <c r="AA22" s="63" t="s">
        <v>54</v>
      </c>
      <c r="AB22" s="7" t="s">
        <v>54</v>
      </c>
      <c r="AC22" s="41" t="s">
        <v>71</v>
      </c>
    </row>
    <row r="23" spans="1:30">
      <c r="A23" s="11"/>
      <c r="B23" s="12" t="s">
        <v>62</v>
      </c>
      <c r="C23" s="11" t="s">
        <v>54</v>
      </c>
      <c r="D23" s="55" t="s">
        <v>72</v>
      </c>
      <c r="E23" s="32" t="s">
        <v>73</v>
      </c>
      <c r="F23" s="16" t="s">
        <v>54</v>
      </c>
      <c r="G23" s="30"/>
      <c r="H23" s="58">
        <v>95000</v>
      </c>
      <c r="I23" s="58">
        <v>0</v>
      </c>
      <c r="J23" s="58">
        <v>95000</v>
      </c>
      <c r="K23" s="52">
        <f>N(K22)+N(G23)-N(J23)</f>
        <v>7836479.05000001</v>
      </c>
      <c r="L23" s="61"/>
      <c r="M23" s="50"/>
      <c r="N23" s="11"/>
      <c r="O23" s="62"/>
      <c r="P23" s="11"/>
      <c r="Q23" s="63" t="s">
        <v>74</v>
      </c>
      <c r="R23" s="63" t="s">
        <v>75</v>
      </c>
      <c r="S23" s="63" t="s">
        <v>57</v>
      </c>
      <c r="T23" s="64">
        <v>1836.62</v>
      </c>
      <c r="U23" s="12" t="s">
        <v>76</v>
      </c>
      <c r="V23" s="65" t="s">
        <v>77</v>
      </c>
      <c r="W23" s="63" t="s">
        <v>78</v>
      </c>
      <c r="X23" s="63" t="s">
        <v>79</v>
      </c>
      <c r="Y23" s="63" t="s">
        <v>80</v>
      </c>
      <c r="Z23" s="63" t="s">
        <v>70</v>
      </c>
      <c r="AA23" s="63" t="s">
        <v>54</v>
      </c>
      <c r="AB23" s="7" t="s">
        <v>54</v>
      </c>
      <c r="AC23" s="41" t="s">
        <v>81</v>
      </c>
    </row>
    <row r="24" spans="1:30">
      <c r="A24" s="11"/>
      <c r="B24" s="12" t="s">
        <v>82</v>
      </c>
      <c r="C24" s="11" t="s">
        <v>54</v>
      </c>
      <c r="D24" s="55" t="s">
        <v>83</v>
      </c>
      <c r="E24" s="32" t="s">
        <v>68</v>
      </c>
      <c r="F24" s="16" t="s">
        <v>54</v>
      </c>
      <c r="G24" s="30"/>
      <c r="H24" s="58">
        <v>300000</v>
      </c>
      <c r="I24" s="58">
        <v>148385.54</v>
      </c>
      <c r="J24" s="58">
        <v>151614.46</v>
      </c>
      <c r="K24" s="52">
        <f>N(K23)+N(G24)-N(J24)</f>
        <v>7684864.59000001</v>
      </c>
      <c r="L24" s="61"/>
      <c r="M24" s="50"/>
      <c r="N24" s="11"/>
      <c r="O24" s="62"/>
      <c r="P24" s="11"/>
      <c r="Q24" s="63" t="s">
        <v>65</v>
      </c>
      <c r="R24" s="63" t="s">
        <v>69</v>
      </c>
      <c r="S24" s="63" t="s">
        <v>84</v>
      </c>
      <c r="T24" s="64">
        <v>9126.59</v>
      </c>
      <c r="U24" s="12" t="s">
        <v>41</v>
      </c>
      <c r="V24" s="65" t="s">
        <v>85</v>
      </c>
      <c r="W24" s="63" t="s">
        <v>52</v>
      </c>
      <c r="X24" s="63" t="s">
        <v>86</v>
      </c>
      <c r="Y24" s="63" t="s">
        <v>87</v>
      </c>
      <c r="Z24" s="63" t="s">
        <v>88</v>
      </c>
      <c r="AA24" s="63" t="s">
        <v>89</v>
      </c>
      <c r="AB24" s="7" t="s">
        <v>90</v>
      </c>
      <c r="AC24" s="41" t="s">
        <v>91</v>
      </c>
    </row>
    <row r="25" spans="1:30">
      <c r="A25" s="11"/>
      <c r="B25" s="12" t="s">
        <v>82</v>
      </c>
      <c r="C25" s="11" t="s">
        <v>54</v>
      </c>
      <c r="D25" s="55" t="s">
        <v>92</v>
      </c>
      <c r="E25" s="32" t="s">
        <v>93</v>
      </c>
      <c r="F25" s="16" t="s">
        <v>54</v>
      </c>
      <c r="G25" s="30"/>
      <c r="H25" s="58">
        <v>100000</v>
      </c>
      <c r="I25" s="58">
        <v>50905.19</v>
      </c>
      <c r="J25" s="58">
        <v>49094.81</v>
      </c>
      <c r="K25" s="52">
        <f>N(K24)+N(G25)-N(J25)</f>
        <v>7635769.78000001</v>
      </c>
      <c r="L25" s="61"/>
      <c r="M25" s="50"/>
      <c r="N25" s="11"/>
      <c r="O25" s="62"/>
      <c r="P25" s="11"/>
      <c r="Q25" s="63" t="s">
        <v>94</v>
      </c>
      <c r="R25" s="63" t="s">
        <v>95</v>
      </c>
      <c r="S25" s="63" t="s">
        <v>96</v>
      </c>
      <c r="T25" s="64">
        <v>2348.51</v>
      </c>
      <c r="U25" s="12" t="s">
        <v>41</v>
      </c>
      <c r="V25" s="65" t="s">
        <v>97</v>
      </c>
      <c r="W25" s="63" t="s">
        <v>98</v>
      </c>
      <c r="X25" s="63" t="s">
        <v>99</v>
      </c>
      <c r="Y25" s="63" t="s">
        <v>100</v>
      </c>
      <c r="Z25" s="63" t="s">
        <v>88</v>
      </c>
      <c r="AA25" s="63" t="s">
        <v>101</v>
      </c>
      <c r="AB25" s="7" t="s">
        <v>90</v>
      </c>
      <c r="AC25" s="41" t="s">
        <v>102</v>
      </c>
    </row>
    <row r="26" s="1" customFormat="1" ht="12.6" customHeight="1" spans="1:30">
      <c r="A26" s="68"/>
      <c r="B26" s="69" t="s">
        <v>62</v>
      </c>
      <c r="C26" s="68"/>
      <c r="D26" s="55" t="s">
        <v>103</v>
      </c>
      <c r="E26" s="70" t="s">
        <v>104</v>
      </c>
      <c r="F26" s="71"/>
      <c r="G26" s="72"/>
      <c r="H26" s="73">
        <v>90000</v>
      </c>
      <c r="I26" s="73"/>
      <c r="J26" s="74">
        <v>90000</v>
      </c>
      <c r="K26" s="52">
        <f t="shared" ref="K26:K38" si="1">N(K25)+N(G26)-N(J26)</f>
        <v>7545769.78000001</v>
      </c>
      <c r="L26" s="75"/>
      <c r="M26" s="76"/>
      <c r="N26" s="68"/>
      <c r="O26" s="77"/>
      <c r="P26" s="68"/>
      <c r="Q26" s="78" t="s">
        <v>74</v>
      </c>
      <c r="R26" s="78">
        <v>5375191</v>
      </c>
      <c r="S26" s="78">
        <v>60</v>
      </c>
      <c r="T26" s="79">
        <v>1739.96</v>
      </c>
      <c r="U26" s="69" t="s">
        <v>105</v>
      </c>
      <c r="V26" s="80">
        <v>13074</v>
      </c>
      <c r="W26" s="78" t="s">
        <v>106</v>
      </c>
      <c r="X26" s="78" t="s">
        <v>79</v>
      </c>
      <c r="Y26" s="78">
        <v>4160293</v>
      </c>
      <c r="Z26" s="81" t="s">
        <v>62</v>
      </c>
      <c r="AA26" s="63"/>
      <c r="AB26" s="82"/>
      <c r="AC26" s="41" t="s">
        <v>107</v>
      </c>
      <c r="AD26" s="83"/>
    </row>
    <row r="27" s="1" customFormat="1" ht="12.6" customHeight="1" spans="1:30">
      <c r="A27" s="68"/>
      <c r="B27" s="69" t="s">
        <v>62</v>
      </c>
      <c r="C27" s="68"/>
      <c r="D27" s="55" t="s">
        <v>108</v>
      </c>
      <c r="E27" s="70" t="s">
        <v>109</v>
      </c>
      <c r="F27" s="71"/>
      <c r="G27" s="72"/>
      <c r="H27" s="73">
        <v>50000</v>
      </c>
      <c r="I27" s="73"/>
      <c r="J27" s="74">
        <v>50000</v>
      </c>
      <c r="K27" s="52">
        <f t="shared" si="1"/>
        <v>7495769.78000001</v>
      </c>
      <c r="L27" s="75"/>
      <c r="M27" s="76"/>
      <c r="N27" s="68"/>
      <c r="O27" s="77"/>
      <c r="P27" s="68"/>
      <c r="Q27" s="78" t="s">
        <v>110</v>
      </c>
      <c r="R27" s="78">
        <v>5407441</v>
      </c>
      <c r="S27" s="78">
        <v>60</v>
      </c>
      <c r="T27" s="78">
        <v>966.65</v>
      </c>
      <c r="U27" s="69" t="s">
        <v>76</v>
      </c>
      <c r="V27" s="80">
        <v>13075</v>
      </c>
      <c r="W27" s="78" t="s">
        <v>111</v>
      </c>
      <c r="X27" s="78" t="s">
        <v>112</v>
      </c>
      <c r="Y27" s="78">
        <v>5410670</v>
      </c>
      <c r="Z27" s="81" t="s">
        <v>62</v>
      </c>
      <c r="AA27" s="63"/>
      <c r="AB27" s="82"/>
      <c r="AC27" s="41" t="s">
        <v>113</v>
      </c>
      <c r="AD27" s="83"/>
    </row>
    <row r="28" s="1" customFormat="1" ht="12.6" customHeight="1" spans="1:30">
      <c r="A28" s="68"/>
      <c r="B28" s="69" t="s">
        <v>62</v>
      </c>
      <c r="C28" s="68"/>
      <c r="D28" s="55" t="s">
        <v>114</v>
      </c>
      <c r="E28" s="70" t="s">
        <v>115</v>
      </c>
      <c r="F28" s="71"/>
      <c r="G28" s="72"/>
      <c r="H28" s="73">
        <v>30000</v>
      </c>
      <c r="I28" s="73"/>
      <c r="J28" s="74">
        <v>30000</v>
      </c>
      <c r="K28" s="52">
        <f t="shared" si="1"/>
        <v>7465769.78000001</v>
      </c>
      <c r="L28" s="75"/>
      <c r="M28" s="76"/>
      <c r="N28" s="68"/>
      <c r="O28" s="77"/>
      <c r="P28" s="68"/>
      <c r="Q28" s="78" t="s">
        <v>110</v>
      </c>
      <c r="R28" s="78">
        <v>5407330</v>
      </c>
      <c r="S28" s="78">
        <v>60</v>
      </c>
      <c r="T28" s="78">
        <v>579.99</v>
      </c>
      <c r="U28" s="69" t="s">
        <v>67</v>
      </c>
      <c r="V28" s="80">
        <v>13076</v>
      </c>
      <c r="W28" s="78" t="s">
        <v>116</v>
      </c>
      <c r="X28" s="78" t="s">
        <v>112</v>
      </c>
      <c r="Y28" s="78">
        <v>5410670</v>
      </c>
      <c r="Z28" s="81" t="s">
        <v>62</v>
      </c>
      <c r="AA28" s="63"/>
      <c r="AB28" s="82"/>
      <c r="AC28" s="41" t="s">
        <v>117</v>
      </c>
      <c r="AD28" s="83"/>
    </row>
    <row r="29" s="1" customFormat="1" ht="12.6" customHeight="1" spans="1:30">
      <c r="A29" s="68"/>
      <c r="B29" s="69" t="s">
        <v>37</v>
      </c>
      <c r="C29" s="68"/>
      <c r="D29" s="55" t="s">
        <v>118</v>
      </c>
      <c r="E29" s="70" t="s">
        <v>119</v>
      </c>
      <c r="F29" s="71"/>
      <c r="G29" s="72"/>
      <c r="H29" s="73">
        <v>100000</v>
      </c>
      <c r="I29" s="73"/>
      <c r="J29" s="74">
        <v>100000</v>
      </c>
      <c r="K29" s="52">
        <f t="shared" si="1"/>
        <v>7365769.78000001</v>
      </c>
      <c r="L29" s="75"/>
      <c r="M29" s="76"/>
      <c r="N29" s="68"/>
      <c r="O29" s="77"/>
      <c r="P29" s="68"/>
      <c r="Q29" s="78" t="s">
        <v>120</v>
      </c>
      <c r="R29" s="78">
        <v>4278059</v>
      </c>
      <c r="S29" s="78">
        <v>60</v>
      </c>
      <c r="T29" s="78">
        <v>1933.29</v>
      </c>
      <c r="U29" s="69" t="s">
        <v>105</v>
      </c>
      <c r="V29" s="80">
        <v>13077</v>
      </c>
      <c r="W29" s="78" t="s">
        <v>121</v>
      </c>
      <c r="X29" s="78" t="s">
        <v>122</v>
      </c>
      <c r="Y29" s="78">
        <v>4261607</v>
      </c>
      <c r="Z29" s="81" t="s">
        <v>37</v>
      </c>
      <c r="AA29" s="63"/>
      <c r="AB29" s="82"/>
      <c r="AC29" s="41" t="s">
        <v>123</v>
      </c>
      <c r="AD29" s="83"/>
    </row>
    <row r="30" s="1" customFormat="1" ht="12.6" customHeight="1" spans="1:30">
      <c r="A30" s="68"/>
      <c r="B30" s="69" t="s">
        <v>37</v>
      </c>
      <c r="C30" s="68"/>
      <c r="D30" s="55" t="s">
        <v>124</v>
      </c>
      <c r="E30" s="84" t="s">
        <v>125</v>
      </c>
      <c r="F30" s="71"/>
      <c r="G30" s="72"/>
      <c r="H30" s="73">
        <v>100000</v>
      </c>
      <c r="I30" s="72"/>
      <c r="J30" s="73">
        <v>100000</v>
      </c>
      <c r="K30" s="52">
        <f t="shared" si="1"/>
        <v>7265769.78000001</v>
      </c>
      <c r="L30" s="75"/>
      <c r="M30" s="76"/>
      <c r="N30" s="68"/>
      <c r="O30" s="77"/>
      <c r="P30" s="68"/>
      <c r="Q30" s="78">
        <v>500</v>
      </c>
      <c r="R30" s="78">
        <v>4151323</v>
      </c>
      <c r="S30" s="78">
        <v>24</v>
      </c>
      <c r="T30" s="78">
        <v>4432.07</v>
      </c>
      <c r="U30" s="69" t="s">
        <v>126</v>
      </c>
      <c r="V30" s="80">
        <v>13078</v>
      </c>
      <c r="W30" s="78" t="s">
        <v>127</v>
      </c>
      <c r="X30" s="78" t="s">
        <v>128</v>
      </c>
      <c r="Y30" s="78">
        <v>4149546</v>
      </c>
      <c r="Z30" s="81" t="s">
        <v>37</v>
      </c>
      <c r="AA30" s="63"/>
      <c r="AB30" s="82"/>
      <c r="AC30" s="41" t="s">
        <v>129</v>
      </c>
      <c r="AD30" s="83"/>
    </row>
    <row r="31" s="1" customFormat="1" ht="12.6" customHeight="1" spans="1:30">
      <c r="A31" s="68"/>
      <c r="B31" s="69" t="s">
        <v>45</v>
      </c>
      <c r="C31" s="68"/>
      <c r="D31" s="55" t="s">
        <v>130</v>
      </c>
      <c r="E31" s="84" t="s">
        <v>131</v>
      </c>
      <c r="F31" s="71" t="s">
        <v>45</v>
      </c>
      <c r="G31" s="72"/>
      <c r="H31" s="73">
        <v>966.65</v>
      </c>
      <c r="I31" s="73"/>
      <c r="J31" s="73">
        <v>966.65</v>
      </c>
      <c r="K31" s="52">
        <f t="shared" si="1"/>
        <v>7264803.13000001</v>
      </c>
      <c r="L31" s="75"/>
      <c r="M31" s="76"/>
      <c r="N31" s="68"/>
      <c r="O31" s="77"/>
      <c r="P31" s="68"/>
      <c r="Q31" s="78"/>
      <c r="R31" s="78"/>
      <c r="S31" s="78"/>
      <c r="T31" s="79"/>
      <c r="U31" s="69"/>
      <c r="V31" s="80">
        <v>13080</v>
      </c>
      <c r="W31" s="78" t="s">
        <v>132</v>
      </c>
      <c r="X31" s="78"/>
      <c r="Y31" s="78"/>
      <c r="Z31" s="81"/>
      <c r="AA31" s="63"/>
      <c r="AB31" s="82"/>
      <c r="AC31" s="41" t="s">
        <v>133</v>
      </c>
      <c r="AD31" s="83"/>
    </row>
    <row r="32" s="1" customFormat="1" ht="12.6" customHeight="1" spans="1:30">
      <c r="A32" s="11"/>
      <c r="B32" s="12" t="s">
        <v>82</v>
      </c>
      <c r="C32" s="11" t="s">
        <v>54</v>
      </c>
      <c r="D32" s="55" t="s">
        <v>134</v>
      </c>
      <c r="E32" s="32" t="s">
        <v>135</v>
      </c>
      <c r="F32" s="16" t="s">
        <v>54</v>
      </c>
      <c r="G32" s="30"/>
      <c r="H32" s="58">
        <v>100000</v>
      </c>
      <c r="I32" s="58">
        <v>61933.09</v>
      </c>
      <c r="J32" s="58">
        <v>38066.91</v>
      </c>
      <c r="K32" s="52">
        <f t="shared" si="1"/>
        <v>7226736.22000001</v>
      </c>
      <c r="L32" s="61"/>
      <c r="M32" s="50"/>
      <c r="N32" s="11"/>
      <c r="O32" s="62"/>
      <c r="P32" s="11"/>
      <c r="Q32" s="63" t="s">
        <v>136</v>
      </c>
      <c r="R32" s="63" t="s">
        <v>137</v>
      </c>
      <c r="S32" s="63" t="s">
        <v>57</v>
      </c>
      <c r="T32" s="64">
        <v>1933.29</v>
      </c>
      <c r="U32" s="12" t="s">
        <v>105</v>
      </c>
      <c r="V32" s="65" t="s">
        <v>138</v>
      </c>
      <c r="W32" s="63" t="s">
        <v>139</v>
      </c>
      <c r="X32" s="63" t="s">
        <v>140</v>
      </c>
      <c r="Y32" s="63" t="s">
        <v>141</v>
      </c>
      <c r="Z32" s="63" t="s">
        <v>88</v>
      </c>
      <c r="AA32" s="63" t="s">
        <v>101</v>
      </c>
      <c r="AB32" s="7" t="s">
        <v>90</v>
      </c>
      <c r="AC32" s="41" t="s">
        <v>142</v>
      </c>
    </row>
    <row r="33" s="1" customFormat="1" ht="12.6" customHeight="1" spans="1:30">
      <c r="A33" s="11"/>
      <c r="B33" s="12" t="s">
        <v>37</v>
      </c>
      <c r="C33" s="11" t="s">
        <v>54</v>
      </c>
      <c r="D33" s="55" t="s">
        <v>143</v>
      </c>
      <c r="E33" s="32" t="s">
        <v>144</v>
      </c>
      <c r="F33" s="16" t="s">
        <v>54</v>
      </c>
      <c r="G33" s="30"/>
      <c r="H33" s="58">
        <v>100000</v>
      </c>
      <c r="I33" s="58">
        <v>0</v>
      </c>
      <c r="J33" s="58">
        <v>100000</v>
      </c>
      <c r="K33" s="52">
        <f t="shared" si="1"/>
        <v>7126736.22000001</v>
      </c>
      <c r="L33" s="61"/>
      <c r="M33" s="50"/>
      <c r="N33" s="11"/>
      <c r="O33" s="62"/>
      <c r="P33" s="11"/>
      <c r="Q33" s="63" t="s">
        <v>145</v>
      </c>
      <c r="R33" s="63" t="s">
        <v>146</v>
      </c>
      <c r="S33" s="63" t="s">
        <v>84</v>
      </c>
      <c r="T33" s="64">
        <v>3042.2</v>
      </c>
      <c r="U33" s="12" t="s">
        <v>76</v>
      </c>
      <c r="V33" s="65" t="s">
        <v>147</v>
      </c>
      <c r="W33" s="63" t="s">
        <v>148</v>
      </c>
      <c r="X33" s="63" t="s">
        <v>149</v>
      </c>
      <c r="Y33" s="63" t="s">
        <v>150</v>
      </c>
      <c r="Z33" s="63" t="s">
        <v>61</v>
      </c>
      <c r="AA33" s="63" t="s">
        <v>54</v>
      </c>
      <c r="AB33" s="7" t="s">
        <v>54</v>
      </c>
      <c r="AC33" s="41" t="s">
        <v>151</v>
      </c>
    </row>
    <row r="34" s="1" customFormat="1" ht="12.6" customHeight="1" spans="1:30">
      <c r="A34" s="11"/>
      <c r="B34" s="12" t="s">
        <v>82</v>
      </c>
      <c r="C34" s="11" t="s">
        <v>54</v>
      </c>
      <c r="D34" s="55" t="s">
        <v>152</v>
      </c>
      <c r="E34" s="32" t="s">
        <v>153</v>
      </c>
      <c r="F34" s="16" t="s">
        <v>54</v>
      </c>
      <c r="G34" s="30"/>
      <c r="H34" s="58">
        <v>100000</v>
      </c>
      <c r="I34" s="58">
        <v>68347.21</v>
      </c>
      <c r="J34" s="58">
        <v>31652.79</v>
      </c>
      <c r="K34" s="52">
        <f t="shared" si="1"/>
        <v>7095083.43000001</v>
      </c>
      <c r="L34" s="61"/>
      <c r="M34" s="50"/>
      <c r="N34" s="11"/>
      <c r="O34" s="62"/>
      <c r="P34" s="11"/>
      <c r="Q34" s="63" t="s">
        <v>154</v>
      </c>
      <c r="R34" s="63" t="s">
        <v>155</v>
      </c>
      <c r="S34" s="63" t="s">
        <v>57</v>
      </c>
      <c r="T34" s="64">
        <v>1933.29</v>
      </c>
      <c r="U34" s="12" t="s">
        <v>156</v>
      </c>
      <c r="V34" s="65" t="s">
        <v>157</v>
      </c>
      <c r="W34" s="63" t="s">
        <v>48</v>
      </c>
      <c r="X34" s="63" t="s">
        <v>158</v>
      </c>
      <c r="Y34" s="63" t="s">
        <v>159</v>
      </c>
      <c r="Z34" s="63" t="s">
        <v>88</v>
      </c>
      <c r="AA34" s="63" t="s">
        <v>160</v>
      </c>
      <c r="AB34" s="7" t="s">
        <v>90</v>
      </c>
      <c r="AC34" s="41" t="s">
        <v>161</v>
      </c>
    </row>
    <row r="35" s="1" customFormat="1" ht="12.6" customHeight="1" spans="1:30">
      <c r="A35" s="11"/>
      <c r="B35" s="12" t="s">
        <v>82</v>
      </c>
      <c r="C35" s="11" t="s">
        <v>54</v>
      </c>
      <c r="D35" s="55" t="s">
        <v>162</v>
      </c>
      <c r="E35" s="32" t="s">
        <v>163</v>
      </c>
      <c r="F35" s="16" t="s">
        <v>54</v>
      </c>
      <c r="G35" s="30"/>
      <c r="H35" s="58">
        <v>50000</v>
      </c>
      <c r="I35" s="58">
        <v>31774.22</v>
      </c>
      <c r="J35" s="58">
        <v>18225.78</v>
      </c>
      <c r="K35" s="52">
        <f t="shared" si="1"/>
        <v>7076857.65000001</v>
      </c>
      <c r="L35" s="61"/>
      <c r="M35" s="50"/>
      <c r="N35" s="11"/>
      <c r="O35" s="62"/>
      <c r="P35" s="11"/>
      <c r="Q35" s="63" t="s">
        <v>164</v>
      </c>
      <c r="R35" s="63" t="s">
        <v>165</v>
      </c>
      <c r="S35" s="63" t="s">
        <v>57</v>
      </c>
      <c r="T35" s="64">
        <v>966.65</v>
      </c>
      <c r="U35" s="12" t="s">
        <v>105</v>
      </c>
      <c r="V35" s="65" t="s">
        <v>166</v>
      </c>
      <c r="W35" s="63" t="s">
        <v>167</v>
      </c>
      <c r="X35" s="63" t="s">
        <v>168</v>
      </c>
      <c r="Y35" s="63" t="s">
        <v>169</v>
      </c>
      <c r="Z35" s="63" t="s">
        <v>88</v>
      </c>
      <c r="AA35" s="63" t="s">
        <v>170</v>
      </c>
      <c r="AB35" s="7" t="s">
        <v>90</v>
      </c>
      <c r="AC35" s="41" t="s">
        <v>171</v>
      </c>
    </row>
    <row r="36" s="1" customFormat="1" ht="12.6" customHeight="1" spans="1:30">
      <c r="A36" s="11"/>
      <c r="B36" s="12" t="s">
        <v>62</v>
      </c>
      <c r="C36" s="11" t="s">
        <v>54</v>
      </c>
      <c r="D36" s="55" t="s">
        <v>172</v>
      </c>
      <c r="E36" s="32" t="s">
        <v>173</v>
      </c>
      <c r="F36" s="16" t="s">
        <v>54</v>
      </c>
      <c r="G36" s="30"/>
      <c r="H36" s="58">
        <v>150000</v>
      </c>
      <c r="I36" s="58">
        <v>0</v>
      </c>
      <c r="J36" s="58">
        <v>150000</v>
      </c>
      <c r="K36" s="52">
        <f t="shared" si="1"/>
        <v>6926857.65000001</v>
      </c>
      <c r="L36" s="61"/>
      <c r="M36" s="50"/>
      <c r="N36" s="11"/>
      <c r="O36" s="62"/>
      <c r="P36" s="11"/>
      <c r="Q36" s="63" t="s">
        <v>65</v>
      </c>
      <c r="R36" s="63" t="s">
        <v>174</v>
      </c>
      <c r="S36" s="63" t="s">
        <v>57</v>
      </c>
      <c r="T36" s="64">
        <v>2899.93</v>
      </c>
      <c r="U36" s="12" t="s">
        <v>41</v>
      </c>
      <c r="V36" s="65" t="s">
        <v>175</v>
      </c>
      <c r="W36" s="63" t="s">
        <v>52</v>
      </c>
      <c r="X36" s="63" t="s">
        <v>176</v>
      </c>
      <c r="Y36" s="63" t="s">
        <v>177</v>
      </c>
      <c r="Z36" s="63" t="s">
        <v>70</v>
      </c>
      <c r="AA36" s="63" t="s">
        <v>54</v>
      </c>
      <c r="AB36" s="7" t="s">
        <v>54</v>
      </c>
      <c r="AC36" s="41" t="s">
        <v>178</v>
      </c>
    </row>
    <row r="37" spans="1:30">
      <c r="B37" s="85" t="s">
        <v>45</v>
      </c>
      <c r="D37" s="55" t="s">
        <v>179</v>
      </c>
      <c r="E37" s="3" t="s">
        <v>45</v>
      </c>
      <c r="F37" s="5" t="s">
        <v>45</v>
      </c>
      <c r="K37" s="52">
        <f t="shared" si="1"/>
        <v>6926857.65000001</v>
      </c>
    </row>
    <row r="38" spans="1:30">
      <c r="B38" s="85" t="s">
        <v>45</v>
      </c>
      <c r="D38" s="55" t="s">
        <v>180</v>
      </c>
      <c r="E38" s="3" t="s">
        <v>45</v>
      </c>
      <c r="F38" s="5" t="s">
        <v>45</v>
      </c>
      <c r="K38" s="52">
        <f t="shared" si="1"/>
        <v>6926857.65000001</v>
      </c>
    </row>
    <row r="39" s="1" customFormat="1" ht="12.6" customHeight="1" spans="1:30">
      <c r="A39" s="68"/>
      <c r="B39" s="69" t="s">
        <v>181</v>
      </c>
      <c r="C39" s="68"/>
      <c r="D39" s="86" t="s">
        <v>182</v>
      </c>
      <c r="E39" s="84" t="s">
        <v>183</v>
      </c>
      <c r="F39" s="71" t="s">
        <v>184</v>
      </c>
      <c r="G39" s="72"/>
      <c r="H39" s="73">
        <v>7142.86</v>
      </c>
      <c r="I39" s="73"/>
      <c r="J39" s="74">
        <v>7142.86</v>
      </c>
      <c r="K39" s="87">
        <f>K38+G39-J39</f>
        <v>6919714.79000001</v>
      </c>
      <c r="L39" s="75"/>
      <c r="M39" s="76"/>
      <c r="N39" s="68"/>
      <c r="O39" s="77"/>
      <c r="P39" s="68"/>
      <c r="Q39" s="78"/>
      <c r="R39" s="78"/>
      <c r="S39" s="78"/>
      <c r="T39" s="79"/>
      <c r="U39" s="69"/>
      <c r="V39" s="80">
        <v>13072</v>
      </c>
      <c r="W39" s="78" t="s">
        <v>52</v>
      </c>
      <c r="X39" s="78"/>
      <c r="Y39" s="78"/>
      <c r="Z39" s="81"/>
      <c r="AA39" s="63"/>
      <c r="AB39" s="82"/>
      <c r="AC39" s="41"/>
      <c r="AD39" s="83"/>
    </row>
    <row r="40" s="2" customFormat="1" ht="12.6" customHeight="1" spans="1:30">
      <c r="A40" s="88"/>
      <c r="B40" s="89" t="s">
        <v>62</v>
      </c>
      <c r="C40" s="88" t="s">
        <v>54</v>
      </c>
      <c r="D40" s="90" t="s">
        <v>185</v>
      </c>
      <c r="E40" s="91" t="s">
        <v>186</v>
      </c>
      <c r="F40" s="92" t="s">
        <v>54</v>
      </c>
      <c r="G40" s="93"/>
      <c r="H40" s="94">
        <v>35000</v>
      </c>
      <c r="I40" s="94">
        <v>0</v>
      </c>
      <c r="J40" s="94">
        <v>35000</v>
      </c>
      <c r="K40" s="95">
        <f>N(K39)+N(G40)-N(J40)</f>
        <v>6884714.79000001</v>
      </c>
      <c r="L40" s="96"/>
      <c r="M40" s="97"/>
      <c r="N40" s="88"/>
      <c r="O40" s="98"/>
      <c r="P40" s="88"/>
      <c r="Q40" s="99" t="s">
        <v>65</v>
      </c>
      <c r="R40" s="99" t="s">
        <v>187</v>
      </c>
      <c r="S40" s="99" t="s">
        <v>57</v>
      </c>
      <c r="T40" s="100">
        <v>676.65</v>
      </c>
      <c r="U40" s="89" t="s">
        <v>41</v>
      </c>
      <c r="V40" s="101" t="s">
        <v>188</v>
      </c>
      <c r="W40" s="99" t="s">
        <v>52</v>
      </c>
      <c r="X40" s="99" t="s">
        <v>189</v>
      </c>
      <c r="Y40" s="99" t="s">
        <v>190</v>
      </c>
      <c r="Z40" s="99" t="s">
        <v>70</v>
      </c>
      <c r="AA40" s="99" t="s">
        <v>54</v>
      </c>
      <c r="AB40" s="102" t="s">
        <v>54</v>
      </c>
      <c r="AC40" s="103" t="s">
        <v>191</v>
      </c>
    </row>
    <row r="41" s="2" customFormat="1" ht="12.6" customHeight="1" spans="1:30">
      <c r="A41" s="11"/>
      <c r="B41" s="12" t="s">
        <v>82</v>
      </c>
      <c r="C41" s="11" t="s">
        <v>54</v>
      </c>
      <c r="D41" s="55" t="s">
        <v>192</v>
      </c>
      <c r="E41" s="32" t="s">
        <v>193</v>
      </c>
      <c r="F41" s="16" t="s">
        <v>54</v>
      </c>
      <c r="G41" s="30"/>
      <c r="H41" s="58">
        <v>125000</v>
      </c>
      <c r="I41" s="58">
        <v>93264.14</v>
      </c>
      <c r="J41" s="58">
        <v>31735.86</v>
      </c>
      <c r="K41" s="52">
        <f>N(K40)+N(G41)-N(J41)</f>
        <v>6852978.93000001</v>
      </c>
      <c r="L41" s="61"/>
      <c r="M41" s="50"/>
      <c r="N41" s="11"/>
      <c r="O41" s="62"/>
      <c r="P41" s="11"/>
      <c r="Q41" s="63" t="s">
        <v>65</v>
      </c>
      <c r="R41" s="63" t="s">
        <v>194</v>
      </c>
      <c r="S41" s="63" t="s">
        <v>57</v>
      </c>
      <c r="T41" s="64">
        <v>2416.62</v>
      </c>
      <c r="U41" s="12" t="s">
        <v>41</v>
      </c>
      <c r="V41" s="65" t="s">
        <v>195</v>
      </c>
      <c r="W41" s="63" t="s">
        <v>52</v>
      </c>
      <c r="X41" s="63" t="s">
        <v>196</v>
      </c>
      <c r="Y41" s="63" t="s">
        <v>197</v>
      </c>
      <c r="Z41" s="63" t="s">
        <v>88</v>
      </c>
      <c r="AA41" s="63" t="s">
        <v>198</v>
      </c>
      <c r="AB41" s="7" t="s">
        <v>199</v>
      </c>
      <c r="AC41" s="41" t="s">
        <v>200</v>
      </c>
    </row>
    <row r="42" s="2" customFormat="1" ht="12.6" customHeight="1" spans="1:30">
      <c r="A42" s="11"/>
      <c r="B42" s="12" t="s">
        <v>82</v>
      </c>
      <c r="C42" s="11" t="s">
        <v>54</v>
      </c>
      <c r="D42" s="55" t="s">
        <v>201</v>
      </c>
      <c r="E42" s="32" t="s">
        <v>202</v>
      </c>
      <c r="F42" s="16" t="s">
        <v>54</v>
      </c>
      <c r="G42" s="30"/>
      <c r="H42" s="58">
        <v>100000</v>
      </c>
      <c r="I42" s="58">
        <v>69930.85</v>
      </c>
      <c r="J42" s="58">
        <v>30069.15</v>
      </c>
      <c r="K42" s="52">
        <f>N(K41)+N(G42)-N(J42)</f>
        <v>6822909.78000001</v>
      </c>
      <c r="L42" s="61"/>
      <c r="M42" s="50"/>
      <c r="N42" s="11"/>
      <c r="O42" s="62"/>
      <c r="P42" s="11"/>
      <c r="Q42" s="63" t="s">
        <v>203</v>
      </c>
      <c r="R42" s="63" t="s">
        <v>204</v>
      </c>
      <c r="S42" s="63" t="s">
        <v>57</v>
      </c>
      <c r="T42" s="64">
        <v>1933.29</v>
      </c>
      <c r="U42" s="12" t="s">
        <v>205</v>
      </c>
      <c r="V42" s="65" t="s">
        <v>206</v>
      </c>
      <c r="W42" s="63" t="s">
        <v>207</v>
      </c>
      <c r="X42" s="63" t="s">
        <v>208</v>
      </c>
      <c r="Y42" s="63" t="s">
        <v>209</v>
      </c>
      <c r="Z42" s="63" t="s">
        <v>88</v>
      </c>
      <c r="AA42" s="63" t="s">
        <v>210</v>
      </c>
      <c r="AB42" s="7" t="s">
        <v>90</v>
      </c>
      <c r="AC42" s="41" t="s">
        <v>211</v>
      </c>
    </row>
    <row r="43" s="2" customFormat="1" ht="12.6" customHeight="1" spans="1:30">
      <c r="A43" s="11"/>
      <c r="B43" s="12" t="s">
        <v>82</v>
      </c>
      <c r="C43" s="11" t="s">
        <v>54</v>
      </c>
      <c r="D43" s="55" t="s">
        <v>212</v>
      </c>
      <c r="E43" s="32" t="s">
        <v>213</v>
      </c>
      <c r="F43" s="16" t="s">
        <v>54</v>
      </c>
      <c r="G43" s="30"/>
      <c r="H43" s="58">
        <v>100000</v>
      </c>
      <c r="I43" s="58">
        <v>65156.15</v>
      </c>
      <c r="J43" s="58">
        <v>34843.85</v>
      </c>
      <c r="K43" s="52">
        <f>N(K42)+N(G43)-N(J43)</f>
        <v>6788065.93000001</v>
      </c>
      <c r="L43" s="61"/>
      <c r="M43" s="50"/>
      <c r="N43" s="11"/>
      <c r="O43" s="62"/>
      <c r="P43" s="11"/>
      <c r="Q43" s="63" t="s">
        <v>164</v>
      </c>
      <c r="R43" s="63" t="s">
        <v>214</v>
      </c>
      <c r="S43" s="63" t="s">
        <v>57</v>
      </c>
      <c r="T43" s="64">
        <v>1933.29</v>
      </c>
      <c r="U43" s="12" t="s">
        <v>215</v>
      </c>
      <c r="V43" s="65" t="s">
        <v>216</v>
      </c>
      <c r="W43" s="63" t="s">
        <v>167</v>
      </c>
      <c r="X43" s="63" t="s">
        <v>217</v>
      </c>
      <c r="Y43" s="63" t="s">
        <v>218</v>
      </c>
      <c r="Z43" s="63" t="s">
        <v>88</v>
      </c>
      <c r="AA43" s="63" t="s">
        <v>219</v>
      </c>
      <c r="AB43" s="7" t="s">
        <v>90</v>
      </c>
      <c r="AC43" s="41" t="s">
        <v>220</v>
      </c>
    </row>
    <row r="44" s="2" customFormat="1" ht="12.6" customHeight="1" spans="1:30">
      <c r="A44" s="11"/>
      <c r="B44" s="12" t="s">
        <v>82</v>
      </c>
      <c r="C44" s="11" t="s">
        <v>54</v>
      </c>
      <c r="D44" s="55" t="s">
        <v>221</v>
      </c>
      <c r="E44" s="32" t="s">
        <v>222</v>
      </c>
      <c r="F44" s="16" t="s">
        <v>54</v>
      </c>
      <c r="G44" s="30"/>
      <c r="H44" s="58">
        <v>100000</v>
      </c>
      <c r="I44" s="58">
        <v>44059.91</v>
      </c>
      <c r="J44" s="58">
        <v>55940.09</v>
      </c>
      <c r="K44" s="52">
        <f>N(K43)+N(G44)-N(J44)</f>
        <v>6732125.84000001</v>
      </c>
      <c r="L44" s="61"/>
      <c r="M44" s="50"/>
      <c r="N44" s="11"/>
      <c r="O44" s="62"/>
      <c r="P44" s="11"/>
      <c r="Q44" s="63" t="s">
        <v>154</v>
      </c>
      <c r="R44" s="63" t="s">
        <v>223</v>
      </c>
      <c r="S44" s="63" t="s">
        <v>57</v>
      </c>
      <c r="T44" s="64">
        <v>1933.29</v>
      </c>
      <c r="U44" s="12" t="s">
        <v>224</v>
      </c>
      <c r="V44" s="65" t="s">
        <v>225</v>
      </c>
      <c r="W44" s="63" t="s">
        <v>226</v>
      </c>
      <c r="X44" s="63" t="s">
        <v>227</v>
      </c>
      <c r="Y44" s="63" t="s">
        <v>228</v>
      </c>
      <c r="Z44" s="63" t="s">
        <v>88</v>
      </c>
      <c r="AA44" s="63" t="s">
        <v>229</v>
      </c>
      <c r="AB44" s="7" t="s">
        <v>90</v>
      </c>
      <c r="AC44" s="41" t="s">
        <v>230</v>
      </c>
    </row>
  </sheetData>
  <conditionalFormatting sqref="A39">
    <cfRule type="containsText" dxfId="0" priority="6" operator="between" text="OK">
      <formula>NOT(ISERROR(SEARCH("OK",A39)))</formula>
    </cfRule>
    <cfRule type="containsText" dxfId="1" priority="5" operator="between" text="w/ docs">
      <formula>NOT(ISERROR(SEARCH("w/ docs",A39)))</formula>
    </cfRule>
    <cfRule type="containsText" dxfId="1" priority="4" operator="between" text="w/ docs for checking">
      <formula>NOT(ISERROR(SEARCH("w/ docs for checking",A39)))</formula>
    </cfRule>
  </conditionalFormatting>
  <pageMargins left="0.7" right="0.7" top="0.75" bottom="0.75" header="0.3" footer="0.3"/>
  <pageSetup paperSize="9" orientation="portrait" useFirstPageNumber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JUNE 2026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alfle</cp:lastModifiedBy>
  <dcterms:created xsi:type="dcterms:W3CDTF">2026-05-29T02:54:00Z</dcterms:created>
  <dcterms:modified xsi:type="dcterms:W3CDTF">2026-06-07T05:55:45Z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62B7907770184DDBA953B31CF2654B72_13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